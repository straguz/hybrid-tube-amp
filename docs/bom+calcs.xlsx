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Calculations" sheetId="2" r:id="rId6"/>
    <sheet state="visible" name="Other calculations" sheetId="3" r:id="rId7"/>
  </sheets>
  <definedNames/>
  <calcPr/>
</workbook>
</file>

<file path=xl/sharedStrings.xml><?xml version="1.0" encoding="utf-8"?>
<sst xmlns="http://schemas.openxmlformats.org/spreadsheetml/2006/main" count="282" uniqueCount="168">
  <si>
    <t>Transistor V_BE:</t>
  </si>
  <si>
    <t>small signal, nominal</t>
  </si>
  <si>
    <t>Load resistance</t>
  </si>
  <si>
    <t>Ohm</t>
  </si>
  <si>
    <t>Transistor V_BE,min:</t>
  </si>
  <si>
    <t>0.2 V</t>
  </si>
  <si>
    <t>For output devices at max temp</t>
  </si>
  <si>
    <t>Supply voltage:</t>
  </si>
  <si>
    <t>+ and -</t>
  </si>
  <si>
    <t>Worst case signal amplitude</t>
  </si>
  <si>
    <t>V</t>
  </si>
  <si>
    <t>Transitor V_BE, max</t>
  </si>
  <si>
    <t>1V</t>
  </si>
  <si>
    <t>For output devices at min temp, worst tolerances</t>
  </si>
  <si>
    <t>Input stage params:</t>
  </si>
  <si>
    <t>VAS params</t>
  </si>
  <si>
    <t>Output stage params</t>
  </si>
  <si>
    <t>Standing Current</t>
  </si>
  <si>
    <t>A</t>
  </si>
  <si>
    <t>Standing current:</t>
  </si>
  <si>
    <t>Pre-driver current:</t>
  </si>
  <si>
    <t>Triode gates</t>
  </si>
  <si>
    <t>R221:</t>
  </si>
  <si>
    <t>Driver current:</t>
  </si>
  <si>
    <t>Triode cathodes</t>
  </si>
  <si>
    <t>Vgk, from datasheet curves</t>
  </si>
  <si>
    <t>R218:</t>
  </si>
  <si>
    <t>Rballast</t>
  </si>
  <si>
    <t>R203, R206</t>
  </si>
  <si>
    <t>R219:</t>
  </si>
  <si>
    <t>Vballast</t>
  </si>
  <si>
    <t>R211</t>
  </si>
  <si>
    <t>RV201</t>
  </si>
  <si>
    <t>h_FE, output devices</t>
  </si>
  <si>
    <t>R212</t>
  </si>
  <si>
    <t>R222</t>
  </si>
  <si>
    <t>h_FE, driver devices</t>
  </si>
  <si>
    <t>R208,209</t>
  </si>
  <si>
    <t>R216</t>
  </si>
  <si>
    <t>n output pairs</t>
  </si>
  <si>
    <t>number of npn and pnp output device pairs</t>
  </si>
  <si>
    <t>Q211,vce_cutoff:</t>
  </si>
  <si>
    <t>reactive load derating:</t>
  </si>
  <si>
    <t>effective current increase from reactive loads</t>
  </si>
  <si>
    <t>Q213,vce_cutoff:</t>
  </si>
  <si>
    <t>Input stage calcs:</t>
  </si>
  <si>
    <t>VAS calcs:</t>
  </si>
  <si>
    <t>Output calcs:</t>
  </si>
  <si>
    <t>R211,R212 current:</t>
  </si>
  <si>
    <t>R221 Vdrop</t>
  </si>
  <si>
    <t>Quiescent current, output:</t>
  </si>
  <si>
    <t>R211,R212 voltage divider:</t>
  </si>
  <si>
    <t>Current limit</t>
  </si>
  <si>
    <t>Quiescent base current, output (per-device):</t>
  </si>
  <si>
    <t>C202,min:</t>
  </si>
  <si>
    <t>uF</t>
  </si>
  <si>
    <t>1 Hz cutoff</t>
  </si>
  <si>
    <t>R223:</t>
  </si>
  <si>
    <t>Output stage bias voltage:</t>
  </si>
  <si>
    <t>Triode anodes:</t>
  </si>
  <si>
    <t>Q210,Vc:</t>
  </si>
  <si>
    <t>R229:</t>
  </si>
  <si>
    <t>Triode V_ak:</t>
  </si>
  <si>
    <t>Design target 25V</t>
  </si>
  <si>
    <t>Q210,Ic:</t>
  </si>
  <si>
    <t>Driver stage bias voltage:</t>
  </si>
  <si>
    <t>R203,R206 Vdrop:</t>
  </si>
  <si>
    <t>I,vbe_bias,min_bias:</t>
  </si>
  <si>
    <t>R226:</t>
  </si>
  <si>
    <t>Q205 Vec:</t>
  </si>
  <si>
    <t>I,vbe_bias,max_bias:</t>
  </si>
  <si>
    <t>Bias generator voltage:</t>
  </si>
  <si>
    <t>Q205 Vc (abs):</t>
  </si>
  <si>
    <t>R222 Vdrop,min_bias</t>
  </si>
  <si>
    <t>Q201, Vc (abs):</t>
  </si>
  <si>
    <t>R222 Vdrop,max_bias</t>
  </si>
  <si>
    <t>Iout,peak:</t>
  </si>
  <si>
    <t>Assumes rail to rail, and with 2x reactive load, so worst case</t>
  </si>
  <si>
    <t>Q201, Vec:</t>
  </si>
  <si>
    <t>Vbe_min_bias:</t>
  </si>
  <si>
    <t>pot at max</t>
  </si>
  <si>
    <t>Iout,rms,per device:</t>
  </si>
  <si>
    <t>Divides evenly into all output pairs, and each conducts half the time</t>
  </si>
  <si>
    <t>Q202,Vce:</t>
  </si>
  <si>
    <t>Vbe_max_bias:</t>
  </si>
  <si>
    <t>pot at 0</t>
  </si>
  <si>
    <t>Ib,rms,per device</t>
  </si>
  <si>
    <t>Supplied by driver stage</t>
  </si>
  <si>
    <t>Q206,Vce:</t>
  </si>
  <si>
    <t>Q212,Ve:</t>
  </si>
  <si>
    <t>Ib,driver,rms:</t>
  </si>
  <si>
    <t>Supplied by pre-drivers</t>
  </si>
  <si>
    <t>R204:</t>
  </si>
  <si>
    <t>Q212,Vc:</t>
  </si>
  <si>
    <t>Ib,pre-driver,rms:</t>
  </si>
  <si>
    <t>Supplied by VAS. negligible level for VAS calculations</t>
  </si>
  <si>
    <t>Q207,Vc:</t>
  </si>
  <si>
    <t>Q211,Vc,nom:</t>
  </si>
  <si>
    <t>Rough mid-level R222 drop</t>
  </si>
  <si>
    <t>Q207,Ic:</t>
  </si>
  <si>
    <t>Pos swing:</t>
  </si>
  <si>
    <t>Pq,output,per</t>
  </si>
  <si>
    <t>W</t>
  </si>
  <si>
    <t>Q203,Vg:</t>
  </si>
  <si>
    <t>Neg swing:</t>
  </si>
  <si>
    <t>Pq,rballast,per</t>
  </si>
  <si>
    <t>Q204,Vc:</t>
  </si>
  <si>
    <t>max rms:</t>
  </si>
  <si>
    <t>before clipping</t>
  </si>
  <si>
    <t>Q216,217 Pq:</t>
  </si>
  <si>
    <t>C201:</t>
  </si>
  <si>
    <t>minimum value for 1Hz cutoff</t>
  </si>
  <si>
    <t>max load power:</t>
  </si>
  <si>
    <t>At clipping</t>
  </si>
  <si>
    <t>R229 Pq:</t>
  </si>
  <si>
    <t>Q214,215 Pq:</t>
  </si>
  <si>
    <t>Input stage device power:</t>
  </si>
  <si>
    <t>assumes all current in that device's branch</t>
  </si>
  <si>
    <t>VAS device power:</t>
  </si>
  <si>
    <t>R226 Pq:</t>
  </si>
  <si>
    <t>R203,R206:</t>
  </si>
  <si>
    <t>Pq,total:</t>
  </si>
  <si>
    <t>Total output stage power consumption, quiescent</t>
  </si>
  <si>
    <t>Q201:</t>
  </si>
  <si>
    <t>Q211,quiescent</t>
  </si>
  <si>
    <t>Q205:</t>
  </si>
  <si>
    <t>Poutput,signal,worst</t>
  </si>
  <si>
    <t>Assuming 40% load power</t>
  </si>
  <si>
    <t>Q202:</t>
  </si>
  <si>
    <t>R218</t>
  </si>
  <si>
    <t>Poutput,per,worst</t>
  </si>
  <si>
    <t>Quiescent+signal power times reactivity factor</t>
  </si>
  <si>
    <t>Q206:</t>
  </si>
  <si>
    <t>R219</t>
  </si>
  <si>
    <t>Prballast,per,worst</t>
  </si>
  <si>
    <t>Happens at full load power</t>
  </si>
  <si>
    <t>Triodes:</t>
  </si>
  <si>
    <t>Q213,quiescent</t>
  </si>
  <si>
    <t>Poutput,total,worst:</t>
  </si>
  <si>
    <t>Signal output plus quiescent at worst-case load power</t>
  </si>
  <si>
    <t>Q203:</t>
  </si>
  <si>
    <t>R223</t>
  </si>
  <si>
    <t>Pdriver,per,worst</t>
  </si>
  <si>
    <t>Signal delivery requirements (output bases) plus quiescent at worst-case load</t>
  </si>
  <si>
    <t>Q204:</t>
  </si>
  <si>
    <t>Ppre-driver,per,worst</t>
  </si>
  <si>
    <t>Signal delivery requirements (driver bases) plus quiescent at worst-case load</t>
  </si>
  <si>
    <t>Q210</t>
  </si>
  <si>
    <t>R208,209:</t>
  </si>
  <si>
    <t>Poutput,total,worst-case</t>
  </si>
  <si>
    <t>Not including power delivered to speakers</t>
  </si>
  <si>
    <t>Q207:</t>
  </si>
  <si>
    <t>Including power delivered to speakers</t>
  </si>
  <si>
    <t>R211:</t>
  </si>
  <si>
    <t>Total</t>
  </si>
  <si>
    <t>Ic*2x supplies, plus current mirror bias</t>
  </si>
  <si>
    <t>Total:</t>
  </si>
  <si>
    <t>Gain:</t>
  </si>
  <si>
    <t>R235</t>
  </si>
  <si>
    <t>max signal output,rms</t>
  </si>
  <si>
    <t>R234</t>
  </si>
  <si>
    <t>C205</t>
  </si>
  <si>
    <t>cutoff</t>
  </si>
  <si>
    <t>Hz</t>
  </si>
  <si>
    <t>gain (V/V)</t>
  </si>
  <si>
    <t>gain (dB)</t>
  </si>
  <si>
    <t>sensitivity</t>
  </si>
  <si>
    <t>max input voltage before clipping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</si>
</sst>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7981D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B1" s="1"/>
      <c r="G1" s="1"/>
      <c r="L1" s="1"/>
    </row>
    <row r="2">
      <c r="B2" s="2" t="s">
        <v>0</v>
      </c>
      <c r="C2" s="3">
        <v>0.65</v>
      </c>
      <c r="D2" s="3" t="s">
        <v>1</v>
      </c>
      <c r="G2" s="2" t="s">
        <v>2</v>
      </c>
      <c r="H2" s="3">
        <v>4.0</v>
      </c>
      <c r="I2" s="3" t="s">
        <v>3</v>
      </c>
      <c r="L2" s="2" t="s">
        <v>4</v>
      </c>
      <c r="M2" s="3" t="s">
        <v>5</v>
      </c>
      <c r="N2" s="3" t="s">
        <v>6</v>
      </c>
    </row>
    <row r="3">
      <c r="B3" s="2" t="s">
        <v>7</v>
      </c>
      <c r="C3" s="3">
        <v>32.0</v>
      </c>
      <c r="D3" s="4" t="s">
        <v>8</v>
      </c>
      <c r="G3" s="2" t="s">
        <v>9</v>
      </c>
      <c r="H3" s="5">
        <f>$C$3*0.637</f>
        <v>20.384</v>
      </c>
      <c r="I3" s="3" t="s">
        <v>10</v>
      </c>
      <c r="L3" s="2" t="s">
        <v>11</v>
      </c>
      <c r="M3" s="3" t="s">
        <v>12</v>
      </c>
      <c r="N3" s="3" t="s">
        <v>13</v>
      </c>
    </row>
    <row r="4">
      <c r="B4" s="1"/>
      <c r="G4" s="1"/>
      <c r="L4" s="1"/>
    </row>
    <row r="5">
      <c r="B5" s="2" t="s">
        <v>14</v>
      </c>
      <c r="G5" s="2" t="s">
        <v>15</v>
      </c>
      <c r="L5" s="2" t="s">
        <v>16</v>
      </c>
    </row>
    <row r="6">
      <c r="B6" s="2" t="s">
        <v>17</v>
      </c>
      <c r="C6" s="6">
        <v>0.01</v>
      </c>
      <c r="D6" s="3" t="s">
        <v>18</v>
      </c>
      <c r="G6" s="2" t="s">
        <v>19</v>
      </c>
      <c r="H6" s="6">
        <v>0.01</v>
      </c>
      <c r="I6" s="3" t="s">
        <v>18</v>
      </c>
      <c r="L6" s="2" t="s">
        <v>20</v>
      </c>
      <c r="M6" s="6">
        <v>0.01</v>
      </c>
      <c r="N6" s="3" t="s">
        <v>18</v>
      </c>
    </row>
    <row r="7">
      <c r="B7" s="2" t="s">
        <v>21</v>
      </c>
      <c r="C7" s="6">
        <v>0.0</v>
      </c>
      <c r="D7" s="3" t="s">
        <v>10</v>
      </c>
      <c r="G7" s="2" t="s">
        <v>22</v>
      </c>
      <c r="H7" s="6">
        <v>20.0</v>
      </c>
      <c r="I7" s="3" t="s">
        <v>3</v>
      </c>
      <c r="L7" s="2" t="s">
        <v>23</v>
      </c>
      <c r="M7" s="6">
        <v>0.015</v>
      </c>
      <c r="N7" s="3" t="s">
        <v>18</v>
      </c>
    </row>
    <row r="8">
      <c r="B8" s="2" t="s">
        <v>24</v>
      </c>
      <c r="C8" s="6">
        <v>0.7</v>
      </c>
      <c r="D8" s="3" t="s">
        <v>10</v>
      </c>
      <c r="E8" s="3" t="s">
        <v>25</v>
      </c>
      <c r="G8" s="2" t="s">
        <v>26</v>
      </c>
      <c r="H8" s="6">
        <v>1000.0</v>
      </c>
      <c r="I8" s="3" t="s">
        <v>3</v>
      </c>
      <c r="L8" s="2" t="s">
        <v>27</v>
      </c>
      <c r="M8" s="6">
        <v>0.1</v>
      </c>
      <c r="N8" s="3" t="s">
        <v>3</v>
      </c>
    </row>
    <row r="9">
      <c r="B9" s="2" t="s">
        <v>28</v>
      </c>
      <c r="C9" s="6">
        <v>50.0</v>
      </c>
      <c r="D9" s="3" t="s">
        <v>3</v>
      </c>
      <c r="G9" s="2" t="s">
        <v>29</v>
      </c>
      <c r="H9" s="6">
        <v>130.0</v>
      </c>
      <c r="I9" s="3" t="s">
        <v>3</v>
      </c>
      <c r="L9" s="2" t="s">
        <v>30</v>
      </c>
      <c r="M9" s="6">
        <v>0.026</v>
      </c>
      <c r="N9" s="3" t="s">
        <v>10</v>
      </c>
    </row>
    <row r="10">
      <c r="B10" s="2" t="s">
        <v>31</v>
      </c>
      <c r="C10" s="6">
        <v>33000.0</v>
      </c>
      <c r="D10" s="3" t="s">
        <v>3</v>
      </c>
      <c r="G10" s="2" t="s">
        <v>32</v>
      </c>
      <c r="H10" s="6">
        <v>1000.0</v>
      </c>
      <c r="I10" s="3" t="s">
        <v>3</v>
      </c>
      <c r="L10" s="2" t="s">
        <v>33</v>
      </c>
      <c r="M10" s="6">
        <v>50.0</v>
      </c>
    </row>
    <row r="11">
      <c r="B11" s="2" t="s">
        <v>34</v>
      </c>
      <c r="C11" s="6">
        <v>133000.0</v>
      </c>
      <c r="D11" s="3" t="s">
        <v>3</v>
      </c>
      <c r="G11" s="2" t="s">
        <v>35</v>
      </c>
      <c r="H11" s="6">
        <v>18.0</v>
      </c>
      <c r="I11" s="3" t="s">
        <v>3</v>
      </c>
      <c r="L11" s="2" t="s">
        <v>36</v>
      </c>
      <c r="M11" s="6">
        <v>100.0</v>
      </c>
    </row>
    <row r="12">
      <c r="B12" s="2" t="s">
        <v>37</v>
      </c>
      <c r="C12" s="6">
        <v>10000.0</v>
      </c>
      <c r="D12" s="3" t="s">
        <v>3</v>
      </c>
      <c r="G12" s="2" t="s">
        <v>38</v>
      </c>
      <c r="H12" s="6">
        <v>10000.0</v>
      </c>
      <c r="I12" s="3" t="s">
        <v>3</v>
      </c>
      <c r="L12" s="2" t="s">
        <v>39</v>
      </c>
      <c r="M12" s="6">
        <v>2.0</v>
      </c>
      <c r="N12" s="3" t="s">
        <v>40</v>
      </c>
    </row>
    <row r="13">
      <c r="G13" s="2" t="s">
        <v>41</v>
      </c>
      <c r="H13" s="6">
        <v>0.5</v>
      </c>
      <c r="I13" s="3" t="s">
        <v>10</v>
      </c>
      <c r="L13" s="2" t="s">
        <v>42</v>
      </c>
      <c r="M13" s="6">
        <v>2.0</v>
      </c>
      <c r="N13" s="3" t="s">
        <v>43</v>
      </c>
    </row>
    <row r="14">
      <c r="B14" s="2"/>
      <c r="G14" s="2" t="s">
        <v>44</v>
      </c>
      <c r="H14" s="6">
        <v>0.5</v>
      </c>
      <c r="I14" s="3" t="s">
        <v>10</v>
      </c>
      <c r="L14" s="1"/>
    </row>
    <row r="15">
      <c r="B15" s="2"/>
      <c r="G15" s="1"/>
      <c r="L15" s="1"/>
    </row>
    <row r="16">
      <c r="B16" s="1"/>
      <c r="G16" s="1"/>
      <c r="L16" s="1"/>
    </row>
    <row r="17">
      <c r="B17" s="2" t="s">
        <v>45</v>
      </c>
      <c r="G17" s="2" t="s">
        <v>46</v>
      </c>
      <c r="L17" s="2" t="s">
        <v>47</v>
      </c>
    </row>
    <row r="18">
      <c r="B18" s="2" t="s">
        <v>48</v>
      </c>
      <c r="C18" s="5">
        <f>($C$3-$C$8)/($C$10+$C$11)</f>
        <v>0.0001885542169</v>
      </c>
      <c r="D18" s="3" t="s">
        <v>18</v>
      </c>
      <c r="G18" s="2" t="s">
        <v>49</v>
      </c>
      <c r="H18" s="5">
        <f>H6*H7</f>
        <v>0.2</v>
      </c>
      <c r="I18" s="3" t="s">
        <v>10</v>
      </c>
      <c r="L18" s="2" t="s">
        <v>50</v>
      </c>
      <c r="M18" s="5">
        <f>$M$9/$M$8</f>
        <v>0.26</v>
      </c>
      <c r="N18" s="3" t="s">
        <v>18</v>
      </c>
    </row>
    <row r="19">
      <c r="B19" s="2" t="s">
        <v>51</v>
      </c>
      <c r="C19" s="5">
        <f>$C$3-($C$10*$C$18)</f>
        <v>25.77771084</v>
      </c>
      <c r="D19" s="3" t="s">
        <v>10</v>
      </c>
      <c r="G19" s="2" t="s">
        <v>52</v>
      </c>
      <c r="H19" s="5">
        <f>C2/H7</f>
        <v>0.0325</v>
      </c>
      <c r="I19" s="3" t="s">
        <v>18</v>
      </c>
      <c r="L19" s="2" t="s">
        <v>53</v>
      </c>
      <c r="M19" s="5">
        <f>$M$18/$M$10</f>
        <v>0.0052</v>
      </c>
      <c r="N19" s="3" t="s">
        <v>18</v>
      </c>
    </row>
    <row r="20">
      <c r="B20" s="2" t="s">
        <v>54</v>
      </c>
      <c r="C20" s="5">
        <f>1/2/PI()/$C$11/0.000001</f>
        <v>1.196653707</v>
      </c>
      <c r="D20" s="3" t="s">
        <v>55</v>
      </c>
      <c r="E20" s="3" t="s">
        <v>56</v>
      </c>
      <c r="G20" s="2" t="s">
        <v>57</v>
      </c>
      <c r="H20" s="5">
        <f>$C$2/$H$6</f>
        <v>65</v>
      </c>
      <c r="I20" s="3" t="s">
        <v>3</v>
      </c>
      <c r="L20" s="2" t="s">
        <v>58</v>
      </c>
      <c r="M20" s="5">
        <f>$C$2*2+$M$9*2</f>
        <v>1.352</v>
      </c>
      <c r="N20" s="3" t="s">
        <v>10</v>
      </c>
    </row>
    <row r="21">
      <c r="B21" s="2" t="s">
        <v>59</v>
      </c>
      <c r="C21" s="5">
        <f>$C$19-$C$2</f>
        <v>25.12771084</v>
      </c>
      <c r="D21" s="3" t="s">
        <v>10</v>
      </c>
      <c r="G21" s="2" t="s">
        <v>60</v>
      </c>
      <c r="H21" s="5">
        <f>-$C$3+ 2*$C$2</f>
        <v>-30.7</v>
      </c>
      <c r="I21" s="3" t="s">
        <v>10</v>
      </c>
      <c r="L21" s="2" t="s">
        <v>61</v>
      </c>
      <c r="M21" s="5">
        <f>$M$20/$M$7</f>
        <v>90.13333333</v>
      </c>
      <c r="N21" s="3" t="s">
        <v>3</v>
      </c>
    </row>
    <row r="22">
      <c r="B22" s="2" t="s">
        <v>62</v>
      </c>
      <c r="C22" s="7">
        <f>$C$21-$C$8</f>
        <v>24.42771084</v>
      </c>
      <c r="D22" s="3" t="s">
        <v>10</v>
      </c>
      <c r="E22" s="3" t="s">
        <v>63</v>
      </c>
      <c r="G22" s="2" t="s">
        <v>64</v>
      </c>
      <c r="H22" s="5">
        <f>-$H$21/$H$12</f>
        <v>0.00307</v>
      </c>
      <c r="I22" s="3" t="s">
        <v>18</v>
      </c>
      <c r="L22" s="2" t="s">
        <v>65</v>
      </c>
      <c r="M22" s="5">
        <f>$C$2*2+$M$20</f>
        <v>2.652</v>
      </c>
      <c r="N22" s="3" t="s">
        <v>10</v>
      </c>
    </row>
    <row r="23">
      <c r="B23" s="2" t="s">
        <v>66</v>
      </c>
      <c r="C23" s="5">
        <f>$C$6/2 * $C$9</f>
        <v>0.25</v>
      </c>
      <c r="D23" s="3" t="s">
        <v>10</v>
      </c>
      <c r="G23" s="2" t="s">
        <v>67</v>
      </c>
      <c r="H23" s="5">
        <f>$C$2/($H$9+$H$10)</f>
        <v>0.0005752212389</v>
      </c>
      <c r="I23" s="3" t="s">
        <v>18</v>
      </c>
      <c r="L23" s="2" t="s">
        <v>68</v>
      </c>
      <c r="M23" s="5">
        <f>$M$22/$M$6</f>
        <v>265.2</v>
      </c>
      <c r="N23" s="3" t="s">
        <v>3</v>
      </c>
    </row>
    <row r="24">
      <c r="B24" s="2" t="s">
        <v>69</v>
      </c>
      <c r="C24" s="5">
        <f>$C$2</f>
        <v>0.65</v>
      </c>
      <c r="D24" s="3" t="s">
        <v>10</v>
      </c>
      <c r="G24" s="2" t="s">
        <v>70</v>
      </c>
      <c r="H24" s="5">
        <f>$C$2/($H$9+0)</f>
        <v>0.005</v>
      </c>
      <c r="I24" s="3" t="s">
        <v>18</v>
      </c>
      <c r="L24" s="2" t="s">
        <v>71</v>
      </c>
      <c r="M24" s="5">
        <f>$M$22+2*$C$2</f>
        <v>3.952</v>
      </c>
      <c r="N24" s="3" t="s">
        <v>10</v>
      </c>
    </row>
    <row r="25">
      <c r="B25" s="2" t="s">
        <v>72</v>
      </c>
      <c r="C25" s="5">
        <f>$C$3-$C$23-$C$24</f>
        <v>31.1</v>
      </c>
      <c r="D25" s="3" t="s">
        <v>10</v>
      </c>
      <c r="G25" s="2" t="s">
        <v>73</v>
      </c>
      <c r="H25" s="5">
        <f>($H$6-$H$23)*$H$11</f>
        <v>0.1696460177</v>
      </c>
      <c r="I25" s="3" t="s">
        <v>10</v>
      </c>
    </row>
    <row r="26">
      <c r="B26" s="2" t="s">
        <v>74</v>
      </c>
      <c r="C26" s="5">
        <f>$C$3-($H$18+2*$C$2)</f>
        <v>30.5</v>
      </c>
      <c r="D26" s="3" t="s">
        <v>10</v>
      </c>
      <c r="G26" s="2" t="s">
        <v>75</v>
      </c>
      <c r="H26" s="5">
        <f>($H$6-$H$24)*$H$11</f>
        <v>0.09</v>
      </c>
      <c r="I26" s="3" t="s">
        <v>10</v>
      </c>
      <c r="L26" s="2" t="s">
        <v>76</v>
      </c>
      <c r="M26" s="5">
        <f>$C$3/$H$2*$M$13</f>
        <v>16</v>
      </c>
      <c r="N26" s="3" t="s">
        <v>18</v>
      </c>
      <c r="O26" s="3" t="s">
        <v>77</v>
      </c>
    </row>
    <row r="27">
      <c r="B27" s="2" t="s">
        <v>78</v>
      </c>
      <c r="C27" s="5">
        <f>($C$3-$C$23)-$C$26</f>
        <v>1.25</v>
      </c>
      <c r="D27" s="3" t="s">
        <v>10</v>
      </c>
      <c r="G27" s="2" t="s">
        <v>79</v>
      </c>
      <c r="H27" s="5">
        <f>$H$23*($H$8+$H$9+$H$10)-$H$25</f>
        <v>1.055575221</v>
      </c>
      <c r="I27" s="3" t="s">
        <v>10</v>
      </c>
      <c r="J27" s="3" t="s">
        <v>80</v>
      </c>
      <c r="L27" s="2" t="s">
        <v>81</v>
      </c>
      <c r="M27" s="5">
        <f>$M$26/2/$M$12</f>
        <v>4</v>
      </c>
      <c r="N27" s="3" t="s">
        <v>18</v>
      </c>
      <c r="O27" s="3" t="s">
        <v>82</v>
      </c>
    </row>
    <row r="28">
      <c r="B28" s="2" t="s">
        <v>83</v>
      </c>
      <c r="C28" s="5">
        <f>$C$26-$C$21</f>
        <v>5.372289157</v>
      </c>
      <c r="D28" s="3" t="s">
        <v>10</v>
      </c>
      <c r="G28" s="2" t="s">
        <v>84</v>
      </c>
      <c r="H28" s="5">
        <f>$H$24*($H$8+$H$9)-$H$26</f>
        <v>5.56</v>
      </c>
      <c r="I28" s="3" t="s">
        <v>10</v>
      </c>
      <c r="J28" s="3" t="s">
        <v>85</v>
      </c>
      <c r="L28" s="2" t="s">
        <v>86</v>
      </c>
      <c r="M28" s="5">
        <f>$M$27*2/$M$10</f>
        <v>0.16</v>
      </c>
      <c r="N28" s="3" t="s">
        <v>18</v>
      </c>
      <c r="O28" s="3" t="s">
        <v>87</v>
      </c>
    </row>
    <row r="29">
      <c r="B29" s="2" t="s">
        <v>88</v>
      </c>
      <c r="C29" s="5">
        <f>$C$25-$C$21</f>
        <v>5.972289157</v>
      </c>
      <c r="D29" s="3" t="s">
        <v>10</v>
      </c>
      <c r="G29" s="2" t="s">
        <v>89</v>
      </c>
      <c r="H29" s="5">
        <f>0-$M$24/2</f>
        <v>-1.976</v>
      </c>
      <c r="I29" s="3" t="s">
        <v>10</v>
      </c>
      <c r="L29" s="2" t="s">
        <v>90</v>
      </c>
      <c r="M29" s="5">
        <f>$M$28/$M$11</f>
        <v>0.0016</v>
      </c>
      <c r="N29" s="3" t="s">
        <v>18</v>
      </c>
      <c r="O29" s="3" t="s">
        <v>91</v>
      </c>
    </row>
    <row r="30">
      <c r="B30" s="2" t="s">
        <v>92</v>
      </c>
      <c r="C30" s="5">
        <f>$C$2/$C$6</f>
        <v>65</v>
      </c>
      <c r="D30" s="3" t="s">
        <v>3</v>
      </c>
      <c r="G30" s="2" t="s">
        <v>93</v>
      </c>
      <c r="H30" s="5">
        <f>$M$24/2</f>
        <v>1.976</v>
      </c>
      <c r="I30" s="3" t="s">
        <v>10</v>
      </c>
      <c r="L30" s="2" t="s">
        <v>94</v>
      </c>
      <c r="M30" s="5">
        <f>$M$29/$M$11</f>
        <v>0.000016</v>
      </c>
      <c r="N30" s="3" t="s">
        <v>18</v>
      </c>
      <c r="O30" s="3" t="s">
        <v>95</v>
      </c>
    </row>
    <row r="31">
      <c r="B31" s="2" t="s">
        <v>96</v>
      </c>
      <c r="C31" s="5">
        <f>-$C$3 + 2*$C$2</f>
        <v>-30.7</v>
      </c>
      <c r="D31" s="3" t="s">
        <v>10</v>
      </c>
      <c r="G31" s="2" t="s">
        <v>97</v>
      </c>
      <c r="H31" s="5">
        <f>$H$30+($H$25+$H$26)/2</f>
        <v>2.105823009</v>
      </c>
      <c r="I31" s="3" t="s">
        <v>10</v>
      </c>
      <c r="J31" s="3" t="s">
        <v>98</v>
      </c>
      <c r="L31" s="2"/>
    </row>
    <row r="32">
      <c r="B32" s="2" t="s">
        <v>99</v>
      </c>
      <c r="C32" s="3">
        <f>(-$C$31)/($C$12*2)</f>
        <v>0.001535</v>
      </c>
      <c r="D32" s="3" t="s">
        <v>18</v>
      </c>
      <c r="G32" s="2" t="s">
        <v>100</v>
      </c>
      <c r="H32" s="5">
        <f>$C$3-$H$18-$H$13-$H$31</f>
        <v>29.19417699</v>
      </c>
      <c r="I32" s="3" t="s">
        <v>10</v>
      </c>
      <c r="L32" s="2" t="s">
        <v>101</v>
      </c>
      <c r="M32" s="5">
        <f>$M$18*$C$3</f>
        <v>8.32</v>
      </c>
      <c r="N32" s="3" t="s">
        <v>102</v>
      </c>
    </row>
    <row r="33">
      <c r="B33" s="2" t="s">
        <v>103</v>
      </c>
      <c r="C33" s="5">
        <f>-$C$32*C12</f>
        <v>-15.35</v>
      </c>
      <c r="D33" s="3" t="s">
        <v>10</v>
      </c>
      <c r="G33" s="2" t="s">
        <v>104</v>
      </c>
      <c r="H33" s="5">
        <f>-$C$3+$C$2+$H$14-H29</f>
        <v>-28.874</v>
      </c>
      <c r="I33" s="3" t="s">
        <v>10</v>
      </c>
      <c r="L33" s="2" t="s">
        <v>105</v>
      </c>
      <c r="M33" s="5">
        <f>$M$18^2*$M$8</f>
        <v>0.00676</v>
      </c>
      <c r="N33" s="3" t="s">
        <v>102</v>
      </c>
    </row>
    <row r="34">
      <c r="B34" s="2" t="s">
        <v>106</v>
      </c>
      <c r="C34" s="5">
        <f>$C$33-$C$2</f>
        <v>-16</v>
      </c>
      <c r="D34" s="3" t="s">
        <v>10</v>
      </c>
      <c r="G34" s="2" t="s">
        <v>107</v>
      </c>
      <c r="H34" s="5">
        <f>min(abs(H32),abs(H33))/sqrt(2)</f>
        <v>20.4170012</v>
      </c>
      <c r="I34" s="3" t="s">
        <v>10</v>
      </c>
      <c r="J34" s="3" t="s">
        <v>108</v>
      </c>
      <c r="L34" s="2" t="s">
        <v>109</v>
      </c>
      <c r="M34" s="5">
        <f>$M$7*($C$3-$M$20/2)</f>
        <v>0.46986</v>
      </c>
      <c r="N34" s="3" t="s">
        <v>102</v>
      </c>
    </row>
    <row r="35">
      <c r="B35" s="2" t="s">
        <v>110</v>
      </c>
      <c r="C35" s="5">
        <f>1/2/PI()/((1/$C$12)*2)^-1/0.000001</f>
        <v>31.83098862</v>
      </c>
      <c r="D35" s="3" t="s">
        <v>55</v>
      </c>
      <c r="E35" s="3" t="s">
        <v>111</v>
      </c>
      <c r="G35" s="2" t="s">
        <v>112</v>
      </c>
      <c r="H35" s="7">
        <f>$H$34*$H$34/$H$2</f>
        <v>104.2134845</v>
      </c>
      <c r="I35" s="3" t="s">
        <v>102</v>
      </c>
      <c r="J35" s="3" t="s">
        <v>113</v>
      </c>
      <c r="L35" s="2" t="s">
        <v>114</v>
      </c>
      <c r="M35" s="5">
        <f>$M$7^2*$M$21</f>
        <v>0.02028</v>
      </c>
      <c r="N35" s="3" t="s">
        <v>102</v>
      </c>
    </row>
    <row r="36">
      <c r="B36" s="1"/>
      <c r="G36" s="2"/>
      <c r="L36" s="2" t="s">
        <v>115</v>
      </c>
      <c r="M36" s="5">
        <f>$M$6^2*($C$3-$M$22/2)</f>
        <v>0.0030674</v>
      </c>
      <c r="N36" s="3" t="s">
        <v>102</v>
      </c>
    </row>
    <row r="37">
      <c r="B37" s="2" t="s">
        <v>116</v>
      </c>
      <c r="C37" s="3" t="s">
        <v>117</v>
      </c>
      <c r="G37" s="2" t="s">
        <v>118</v>
      </c>
      <c r="L37" s="2" t="s">
        <v>119</v>
      </c>
      <c r="M37" s="5">
        <f>$M$23*$M$6^2</f>
        <v>0.02652</v>
      </c>
      <c r="N37" s="3" t="s">
        <v>102</v>
      </c>
    </row>
    <row r="38">
      <c r="B38" s="2" t="s">
        <v>120</v>
      </c>
      <c r="C38" s="5">
        <f>$C$6^2*$C$9</f>
        <v>0.005</v>
      </c>
      <c r="D38" s="3" t="s">
        <v>102</v>
      </c>
      <c r="G38" s="8"/>
      <c r="H38" s="5">
        <f>$H$7*$H$6^2</f>
        <v>0.002</v>
      </c>
      <c r="I38" s="3" t="s">
        <v>102</v>
      </c>
      <c r="L38" s="2" t="s">
        <v>121</v>
      </c>
      <c r="M38" s="5">
        <f>($M$32+$M$33)*2*$M$12+$M$34*2+$M$35+$M$36*2+$M$37</f>
        <v>34.2996948</v>
      </c>
      <c r="N38" s="3" t="s">
        <v>102</v>
      </c>
      <c r="O38" s="3" t="s">
        <v>122</v>
      </c>
    </row>
    <row r="39">
      <c r="B39" s="2" t="s">
        <v>123</v>
      </c>
      <c r="C39" s="5">
        <f>$C$27*$C$6</f>
        <v>0.0125</v>
      </c>
      <c r="D39" s="3" t="s">
        <v>102</v>
      </c>
      <c r="G39" s="2" t="s">
        <v>124</v>
      </c>
      <c r="H39" s="5">
        <f>$H$6*($C$3-$H$25-$H$31)</f>
        <v>0.2972453097</v>
      </c>
      <c r="I39" s="3" t="s">
        <v>102</v>
      </c>
      <c r="L39" s="2"/>
    </row>
    <row r="40">
      <c r="B40" s="2" t="s">
        <v>125</v>
      </c>
      <c r="C40" s="5">
        <f>$C$24*$C$6</f>
        <v>0.0065</v>
      </c>
      <c r="D40" s="3" t="s">
        <v>102</v>
      </c>
      <c r="G40" s="2" t="s">
        <v>35</v>
      </c>
      <c r="H40" s="5">
        <f>$H$25^2/$H$11</f>
        <v>0.001598876185</v>
      </c>
      <c r="I40" s="3" t="s">
        <v>102</v>
      </c>
      <c r="L40" s="2" t="s">
        <v>126</v>
      </c>
      <c r="M40" s="5">
        <f>$H$3^2/2/$H$2</f>
        <v>51.938432</v>
      </c>
      <c r="N40" s="3" t="s">
        <v>102</v>
      </c>
      <c r="O40" s="3" t="s">
        <v>127</v>
      </c>
    </row>
    <row r="41">
      <c r="B41" s="2" t="s">
        <v>128</v>
      </c>
      <c r="C41" s="5">
        <f>$C$28*$C$6</f>
        <v>0.05372289157</v>
      </c>
      <c r="D41" s="3" t="s">
        <v>102</v>
      </c>
      <c r="G41" s="2" t="s">
        <v>129</v>
      </c>
      <c r="H41" s="5">
        <f>$H$24^2*$H$8</f>
        <v>0.025</v>
      </c>
      <c r="I41" s="3" t="s">
        <v>102</v>
      </c>
      <c r="L41" s="2" t="s">
        <v>130</v>
      </c>
      <c r="M41" s="5">
        <f>$M$40/2/$M$12*$M$13 + $M$32</f>
        <v>34.289216</v>
      </c>
      <c r="N41" s="3" t="s">
        <v>102</v>
      </c>
      <c r="O41" s="3" t="s">
        <v>131</v>
      </c>
    </row>
    <row r="42">
      <c r="B42" s="2" t="s">
        <v>132</v>
      </c>
      <c r="C42" s="5">
        <f>$C$29*$C$6</f>
        <v>0.05972289157</v>
      </c>
      <c r="D42" s="3" t="s">
        <v>102</v>
      </c>
      <c r="G42" s="2" t="s">
        <v>133</v>
      </c>
      <c r="H42" s="5">
        <f>$H$24^2*$H$9</f>
        <v>0.00325</v>
      </c>
      <c r="I42" s="3" t="s">
        <v>102</v>
      </c>
      <c r="L42" s="2" t="s">
        <v>134</v>
      </c>
      <c r="M42" s="5">
        <f>($M$27)^2*$M$8</f>
        <v>1.6</v>
      </c>
      <c r="N42" s="3" t="s">
        <v>102</v>
      </c>
      <c r="O42" s="3" t="s">
        <v>135</v>
      </c>
    </row>
    <row r="43">
      <c r="B43" s="2" t="s">
        <v>136</v>
      </c>
      <c r="C43" s="5">
        <f>$C$22*$C$6</f>
        <v>0.2442771084</v>
      </c>
      <c r="D43" s="3" t="s">
        <v>102</v>
      </c>
      <c r="G43" s="2" t="s">
        <v>137</v>
      </c>
      <c r="H43" s="5">
        <f>($H$29+$C$3-$C$2)*$H$6</f>
        <v>0.29374</v>
      </c>
      <c r="I43" s="3" t="s">
        <v>102</v>
      </c>
      <c r="L43" s="2" t="s">
        <v>138</v>
      </c>
      <c r="M43" s="5">
        <f>$M$41*2*$M$12</f>
        <v>137.156864</v>
      </c>
      <c r="N43" s="3" t="s">
        <v>102</v>
      </c>
      <c r="O43" s="3" t="s">
        <v>139</v>
      </c>
    </row>
    <row r="44">
      <c r="B44" s="2" t="s">
        <v>140</v>
      </c>
      <c r="C44" s="5">
        <f>($C$8-$C$34)*$C$6</f>
        <v>0.167</v>
      </c>
      <c r="D44" s="3" t="s">
        <v>102</v>
      </c>
      <c r="G44" s="2" t="s">
        <v>141</v>
      </c>
      <c r="H44" s="5">
        <f>$H$20*$H$6^2</f>
        <v>0.0065</v>
      </c>
      <c r="I44" s="3" t="s">
        <v>102</v>
      </c>
      <c r="L44" s="2" t="s">
        <v>142</v>
      </c>
      <c r="M44" s="5">
        <f>$H$3/sqrt(2)/$H$2/$M$12/$M$10*$H$3/sqrt(2)+$M$34</f>
        <v>0.98924432</v>
      </c>
      <c r="N44" s="3" t="s">
        <v>102</v>
      </c>
      <c r="O44" s="3" t="s">
        <v>143</v>
      </c>
    </row>
    <row r="45">
      <c r="B45" s="2" t="s">
        <v>144</v>
      </c>
      <c r="C45" s="5">
        <f>($C$34-(-$C$3+$C$2))*$C$6</f>
        <v>0.1535</v>
      </c>
      <c r="D45" s="3" t="s">
        <v>102</v>
      </c>
      <c r="G45" s="2" t="s">
        <v>38</v>
      </c>
      <c r="H45" s="5">
        <f>$H$22^2*$H$12</f>
        <v>0.094249</v>
      </c>
      <c r="I45" s="3" t="s">
        <v>102</v>
      </c>
      <c r="L45" s="2" t="s">
        <v>145</v>
      </c>
      <c r="M45" s="5">
        <f>$M$29*($C$3/sqrt(2))+$M$36</f>
        <v>0.0392712672</v>
      </c>
      <c r="N45" s="3" t="s">
        <v>102</v>
      </c>
      <c r="O45" s="3" t="s">
        <v>146</v>
      </c>
    </row>
    <row r="46">
      <c r="B46" s="2" t="s">
        <v>92</v>
      </c>
      <c r="C46" s="5">
        <f>$C$6^2*$C$30</f>
        <v>0.0065</v>
      </c>
      <c r="D46" s="3" t="s">
        <v>102</v>
      </c>
      <c r="G46" s="2" t="s">
        <v>147</v>
      </c>
      <c r="H46" s="5">
        <f>($H$21+$C$3)*$H$22</f>
        <v>0.003991</v>
      </c>
      <c r="I46" s="3" t="s">
        <v>102</v>
      </c>
      <c r="L46" s="1"/>
    </row>
    <row r="47">
      <c r="B47" s="2" t="s">
        <v>148</v>
      </c>
      <c r="C47" s="5">
        <f>$C$32*$C$32*$C$12</f>
        <v>0.02356225</v>
      </c>
      <c r="D47" s="3" t="s">
        <v>102</v>
      </c>
      <c r="G47" s="1"/>
      <c r="L47" s="2" t="s">
        <v>149</v>
      </c>
      <c r="M47" s="5">
        <f>$M$43+$M$44+$M$45+$M$37+$M$35+$M$42</f>
        <v>139.8321796</v>
      </c>
      <c r="N47" s="3" t="s">
        <v>102</v>
      </c>
      <c r="O47" s="3" t="s">
        <v>150</v>
      </c>
    </row>
    <row r="48">
      <c r="B48" s="2" t="s">
        <v>151</v>
      </c>
      <c r="C48" s="5">
        <f>($C$31+$C$3)*$C$32</f>
        <v>0.0019955</v>
      </c>
      <c r="D48" s="3" t="s">
        <v>102</v>
      </c>
      <c r="L48" s="2" t="s">
        <v>149</v>
      </c>
      <c r="M48" s="5">
        <f>$M$43+$M$44+$M$45+$M$37+$M$35+$M$42+$H$3^2/2/$H$2</f>
        <v>191.7706116</v>
      </c>
      <c r="N48" s="3" t="s">
        <v>102</v>
      </c>
      <c r="O48" s="3" t="s">
        <v>152</v>
      </c>
    </row>
    <row r="49">
      <c r="B49" s="2" t="s">
        <v>153</v>
      </c>
      <c r="C49" s="5">
        <f>$C$10*$C$18^2</f>
        <v>0.001173238859</v>
      </c>
      <c r="D49" s="3" t="s">
        <v>102</v>
      </c>
      <c r="G49" s="1"/>
      <c r="L49" s="1"/>
    </row>
    <row r="50">
      <c r="B50" s="2" t="s">
        <v>34</v>
      </c>
      <c r="C50" s="5">
        <f>$C$11*$C$18^2</f>
        <v>0.004728508129</v>
      </c>
      <c r="D50" s="3" t="s">
        <v>102</v>
      </c>
      <c r="G50" s="1"/>
      <c r="L50" s="1"/>
    </row>
    <row r="51">
      <c r="B51" s="1"/>
      <c r="G51" s="1"/>
      <c r="L51" s="1"/>
    </row>
    <row r="52">
      <c r="B52" s="2"/>
      <c r="G52" s="2" t="s">
        <v>154</v>
      </c>
      <c r="H52" s="5">
        <f>$C$3*2*$H$6+$C$3*$H$22</f>
        <v>0.73824</v>
      </c>
      <c r="I52" s="3" t="s">
        <v>102</v>
      </c>
      <c r="J52" s="3" t="s">
        <v>155</v>
      </c>
      <c r="L52" s="1"/>
    </row>
    <row r="53">
      <c r="B53" s="2" t="s">
        <v>156</v>
      </c>
      <c r="C53" s="5">
        <f>2*$C$3*$C$6+$C$3*$C$32</f>
        <v>0.68912</v>
      </c>
      <c r="D53" s="3" t="s">
        <v>102</v>
      </c>
      <c r="E53" s="3" t="s">
        <v>155</v>
      </c>
      <c r="G53" s="1"/>
      <c r="L53" s="1"/>
    </row>
    <row r="54">
      <c r="B54" s="1"/>
      <c r="G54" s="1"/>
      <c r="L54" s="1"/>
    </row>
    <row r="55">
      <c r="B55" s="1"/>
      <c r="G55" s="1"/>
      <c r="L55" s="1"/>
    </row>
    <row r="56">
      <c r="B56" s="1"/>
      <c r="G56" s="1"/>
      <c r="L56" s="1"/>
    </row>
    <row r="57">
      <c r="B57" s="1"/>
      <c r="G57" s="1"/>
      <c r="L57" s="1"/>
    </row>
    <row r="58">
      <c r="B58" s="1"/>
      <c r="G58" s="1"/>
      <c r="L58" s="1"/>
    </row>
    <row r="59">
      <c r="B59" s="1"/>
      <c r="G59" s="1"/>
      <c r="L59" s="1"/>
    </row>
    <row r="60">
      <c r="B60" s="1"/>
      <c r="G60" s="1"/>
      <c r="L60" s="1"/>
    </row>
    <row r="61">
      <c r="B61" s="1"/>
      <c r="G61" s="1"/>
      <c r="L61" s="1"/>
    </row>
    <row r="62">
      <c r="B62" s="1"/>
      <c r="G62" s="1"/>
      <c r="L62" s="1"/>
    </row>
    <row r="63">
      <c r="B63" s="1"/>
      <c r="G63" s="1"/>
      <c r="L63" s="1"/>
    </row>
    <row r="64">
      <c r="B64" s="1"/>
      <c r="G64" s="1"/>
      <c r="L64" s="1"/>
    </row>
    <row r="65">
      <c r="B65" s="1"/>
      <c r="G65" s="1"/>
      <c r="L65" s="1"/>
    </row>
    <row r="66">
      <c r="B66" s="1"/>
      <c r="G66" s="1"/>
      <c r="L66" s="1"/>
    </row>
    <row r="67">
      <c r="B67" s="1"/>
      <c r="G67" s="1"/>
      <c r="L67" s="1"/>
    </row>
    <row r="68">
      <c r="B68" s="1"/>
      <c r="G68" s="1"/>
      <c r="L68" s="1"/>
    </row>
    <row r="69">
      <c r="B69" s="1"/>
      <c r="G69" s="1"/>
      <c r="L69" s="1"/>
    </row>
    <row r="70">
      <c r="B70" s="1"/>
      <c r="G70" s="1"/>
      <c r="L70" s="1"/>
    </row>
    <row r="71">
      <c r="B71" s="1"/>
      <c r="G71" s="1"/>
      <c r="L71" s="1"/>
    </row>
    <row r="72">
      <c r="B72" s="1"/>
      <c r="G72" s="1"/>
      <c r="L72" s="1"/>
    </row>
    <row r="73">
      <c r="B73" s="1"/>
      <c r="G73" s="1"/>
      <c r="L73" s="1"/>
    </row>
    <row r="74">
      <c r="B74" s="1"/>
      <c r="G74" s="1"/>
      <c r="L74" s="1"/>
    </row>
    <row r="75">
      <c r="B75" s="1"/>
      <c r="G75" s="1"/>
      <c r="L75" s="1"/>
    </row>
    <row r="76">
      <c r="B76" s="1"/>
      <c r="G76" s="1"/>
      <c r="L76" s="1"/>
    </row>
    <row r="77">
      <c r="B77" s="1"/>
      <c r="G77" s="1"/>
      <c r="L77" s="1"/>
    </row>
    <row r="78">
      <c r="B78" s="1"/>
      <c r="G78" s="1"/>
      <c r="L78" s="1"/>
    </row>
    <row r="79">
      <c r="B79" s="1"/>
      <c r="G79" s="1"/>
      <c r="L79" s="1"/>
    </row>
    <row r="80">
      <c r="B80" s="1"/>
      <c r="G80" s="1"/>
      <c r="L80" s="1"/>
    </row>
    <row r="81">
      <c r="B81" s="1"/>
      <c r="G81" s="1"/>
      <c r="L81" s="1"/>
    </row>
    <row r="82">
      <c r="B82" s="1"/>
      <c r="G82" s="1"/>
      <c r="L82" s="1"/>
    </row>
    <row r="83">
      <c r="B83" s="1"/>
      <c r="G83" s="1"/>
      <c r="L83" s="1"/>
    </row>
    <row r="84">
      <c r="B84" s="1"/>
      <c r="G84" s="1"/>
      <c r="L84" s="1"/>
    </row>
    <row r="85">
      <c r="B85" s="1"/>
      <c r="G85" s="1"/>
      <c r="L85" s="1"/>
    </row>
    <row r="86">
      <c r="B86" s="1"/>
      <c r="G86" s="1"/>
      <c r="L86" s="1"/>
    </row>
    <row r="87">
      <c r="B87" s="1"/>
      <c r="G87" s="1"/>
      <c r="L87" s="1"/>
    </row>
    <row r="88">
      <c r="B88" s="1"/>
      <c r="G88" s="1"/>
      <c r="L88" s="1"/>
    </row>
    <row r="89">
      <c r="B89" s="1"/>
      <c r="G89" s="1"/>
      <c r="L89" s="1"/>
    </row>
    <row r="90">
      <c r="B90" s="1"/>
      <c r="G90" s="1"/>
      <c r="L90" s="1"/>
    </row>
    <row r="91">
      <c r="B91" s="1"/>
      <c r="G91" s="1"/>
      <c r="L91" s="1"/>
    </row>
    <row r="92">
      <c r="B92" s="1"/>
      <c r="G92" s="1"/>
      <c r="L92" s="1"/>
    </row>
    <row r="93">
      <c r="B93" s="1"/>
      <c r="G93" s="1"/>
      <c r="L93" s="1"/>
    </row>
    <row r="94">
      <c r="B94" s="1"/>
      <c r="G94" s="1"/>
      <c r="L94" s="1"/>
    </row>
    <row r="95">
      <c r="B95" s="1"/>
      <c r="G95" s="1"/>
      <c r="L95" s="1"/>
    </row>
    <row r="96">
      <c r="B96" s="1"/>
      <c r="G96" s="1"/>
      <c r="L96" s="1"/>
    </row>
    <row r="97">
      <c r="B97" s="1"/>
      <c r="G97" s="1"/>
      <c r="L97" s="1"/>
    </row>
    <row r="98">
      <c r="B98" s="1"/>
      <c r="G98" s="1"/>
      <c r="L98" s="1"/>
    </row>
    <row r="99">
      <c r="B99" s="1"/>
      <c r="G99" s="1"/>
      <c r="L99" s="1"/>
    </row>
    <row r="100">
      <c r="B100" s="1"/>
      <c r="G100" s="1"/>
      <c r="L100" s="1"/>
    </row>
    <row r="101">
      <c r="B101" s="1"/>
      <c r="G101" s="1"/>
      <c r="L101" s="1"/>
    </row>
    <row r="102">
      <c r="B102" s="1"/>
      <c r="G102" s="1"/>
      <c r="L102" s="1"/>
    </row>
    <row r="103">
      <c r="B103" s="1"/>
      <c r="G103" s="1"/>
      <c r="L103" s="1"/>
    </row>
    <row r="104">
      <c r="B104" s="1"/>
      <c r="G104" s="1"/>
      <c r="L104" s="1"/>
    </row>
    <row r="105">
      <c r="B105" s="1"/>
      <c r="G105" s="1"/>
      <c r="L105" s="1"/>
    </row>
    <row r="106">
      <c r="B106" s="1"/>
      <c r="G106" s="1"/>
      <c r="L106" s="1"/>
    </row>
    <row r="107">
      <c r="B107" s="1"/>
      <c r="G107" s="1"/>
      <c r="L107" s="1"/>
    </row>
    <row r="108">
      <c r="B108" s="1"/>
      <c r="G108" s="1"/>
      <c r="L108" s="1"/>
    </row>
    <row r="109">
      <c r="B109" s="1"/>
      <c r="G109" s="1"/>
      <c r="L109" s="1"/>
    </row>
    <row r="110">
      <c r="B110" s="1"/>
      <c r="G110" s="1"/>
      <c r="L110" s="1"/>
    </row>
    <row r="111">
      <c r="B111" s="1"/>
      <c r="G111" s="1"/>
      <c r="L111" s="1"/>
    </row>
    <row r="112">
      <c r="B112" s="1"/>
      <c r="G112" s="1"/>
      <c r="L112" s="1"/>
    </row>
    <row r="113">
      <c r="B113" s="1"/>
      <c r="G113" s="1"/>
      <c r="L113" s="1"/>
    </row>
    <row r="114">
      <c r="B114" s="1"/>
      <c r="G114" s="1"/>
      <c r="L114" s="1"/>
    </row>
    <row r="115">
      <c r="B115" s="1"/>
      <c r="G115" s="1"/>
      <c r="L115" s="1"/>
    </row>
    <row r="116">
      <c r="B116" s="1"/>
      <c r="G116" s="1"/>
      <c r="L116" s="1"/>
    </row>
    <row r="117">
      <c r="B117" s="1"/>
      <c r="G117" s="1"/>
      <c r="L117" s="1"/>
    </row>
    <row r="118">
      <c r="B118" s="1"/>
      <c r="G118" s="1"/>
      <c r="L118" s="1"/>
    </row>
    <row r="119">
      <c r="B119" s="1"/>
      <c r="G119" s="1"/>
      <c r="L119" s="1"/>
    </row>
    <row r="120">
      <c r="B120" s="1"/>
      <c r="G120" s="1"/>
      <c r="L120" s="1"/>
    </row>
    <row r="121">
      <c r="B121" s="1"/>
      <c r="G121" s="1"/>
      <c r="L121" s="1"/>
    </row>
    <row r="122">
      <c r="B122" s="1"/>
      <c r="G122" s="1"/>
      <c r="L122" s="1"/>
    </row>
    <row r="123">
      <c r="B123" s="1"/>
      <c r="G123" s="1"/>
      <c r="L123" s="1"/>
    </row>
    <row r="124">
      <c r="B124" s="1"/>
      <c r="G124" s="1"/>
      <c r="L124" s="1"/>
    </row>
    <row r="125">
      <c r="B125" s="1"/>
      <c r="G125" s="1"/>
      <c r="L125" s="1"/>
    </row>
    <row r="126">
      <c r="B126" s="1"/>
      <c r="G126" s="1"/>
      <c r="L126" s="1"/>
    </row>
    <row r="127">
      <c r="B127" s="1"/>
      <c r="G127" s="1"/>
      <c r="L127" s="1"/>
    </row>
    <row r="128">
      <c r="B128" s="1"/>
      <c r="G128" s="1"/>
      <c r="L128" s="1"/>
    </row>
    <row r="129">
      <c r="B129" s="1"/>
      <c r="G129" s="1"/>
      <c r="L129" s="1"/>
    </row>
    <row r="130">
      <c r="B130" s="1"/>
      <c r="G130" s="1"/>
      <c r="L130" s="1"/>
    </row>
    <row r="131">
      <c r="B131" s="1"/>
      <c r="G131" s="1"/>
      <c r="L131" s="1"/>
    </row>
    <row r="132">
      <c r="B132" s="1"/>
      <c r="G132" s="1"/>
      <c r="L132" s="1"/>
    </row>
    <row r="133">
      <c r="B133" s="1"/>
      <c r="G133" s="1"/>
      <c r="L133" s="1"/>
    </row>
    <row r="134">
      <c r="B134" s="1"/>
      <c r="G134" s="1"/>
      <c r="L134" s="1"/>
    </row>
    <row r="135">
      <c r="B135" s="1"/>
      <c r="G135" s="1"/>
      <c r="L135" s="1"/>
    </row>
    <row r="136">
      <c r="B136" s="1"/>
      <c r="G136" s="1"/>
      <c r="L136" s="1"/>
    </row>
    <row r="137">
      <c r="B137" s="1"/>
      <c r="G137" s="1"/>
      <c r="L137" s="1"/>
    </row>
    <row r="138">
      <c r="B138" s="1"/>
      <c r="G138" s="1"/>
      <c r="L138" s="1"/>
    </row>
    <row r="139">
      <c r="B139" s="1"/>
      <c r="G139" s="1"/>
      <c r="L139" s="1"/>
    </row>
    <row r="140">
      <c r="B140" s="1"/>
      <c r="G140" s="1"/>
      <c r="L140" s="1"/>
    </row>
    <row r="141">
      <c r="B141" s="1"/>
      <c r="G141" s="1"/>
      <c r="L141" s="1"/>
    </row>
    <row r="142">
      <c r="B142" s="1"/>
      <c r="G142" s="1"/>
      <c r="L142" s="1"/>
    </row>
    <row r="143">
      <c r="B143" s="1"/>
      <c r="G143" s="1"/>
      <c r="L143" s="1"/>
    </row>
    <row r="144">
      <c r="B144" s="1"/>
      <c r="G144" s="1"/>
      <c r="L144" s="1"/>
    </row>
    <row r="145">
      <c r="B145" s="1"/>
      <c r="G145" s="1"/>
      <c r="L145" s="1"/>
    </row>
    <row r="146">
      <c r="B146" s="1"/>
      <c r="G146" s="1"/>
      <c r="L146" s="1"/>
    </row>
    <row r="147">
      <c r="B147" s="1"/>
      <c r="G147" s="1"/>
      <c r="L147" s="1"/>
    </row>
    <row r="148">
      <c r="B148" s="1"/>
      <c r="G148" s="1"/>
      <c r="L148" s="1"/>
    </row>
    <row r="149">
      <c r="B149" s="1"/>
      <c r="G149" s="1"/>
      <c r="L149" s="1"/>
    </row>
    <row r="150">
      <c r="B150" s="1"/>
      <c r="G150" s="1"/>
      <c r="L150" s="1"/>
    </row>
    <row r="151">
      <c r="B151" s="1"/>
      <c r="G151" s="1"/>
      <c r="L151" s="1"/>
    </row>
    <row r="152">
      <c r="B152" s="1"/>
      <c r="G152" s="1"/>
      <c r="L152" s="1"/>
    </row>
    <row r="153">
      <c r="B153" s="1"/>
      <c r="G153" s="1"/>
      <c r="L153" s="1"/>
    </row>
    <row r="154">
      <c r="B154" s="1"/>
      <c r="G154" s="1"/>
      <c r="L154" s="1"/>
    </row>
    <row r="155">
      <c r="B155" s="1"/>
      <c r="G155" s="1"/>
      <c r="L155" s="1"/>
    </row>
    <row r="156">
      <c r="B156" s="1"/>
      <c r="G156" s="1"/>
      <c r="L156" s="1"/>
    </row>
    <row r="157">
      <c r="B157" s="1"/>
      <c r="G157" s="1"/>
      <c r="L157" s="1"/>
    </row>
    <row r="158">
      <c r="B158" s="1"/>
      <c r="G158" s="1"/>
      <c r="L158" s="1"/>
    </row>
    <row r="159">
      <c r="B159" s="1"/>
      <c r="G159" s="1"/>
      <c r="L159" s="1"/>
    </row>
    <row r="160">
      <c r="B160" s="1"/>
      <c r="G160" s="1"/>
      <c r="L160" s="1"/>
    </row>
    <row r="161">
      <c r="B161" s="1"/>
      <c r="G161" s="1"/>
      <c r="L161" s="1"/>
    </row>
    <row r="162">
      <c r="B162" s="1"/>
      <c r="G162" s="1"/>
      <c r="L162" s="1"/>
    </row>
    <row r="163">
      <c r="B163" s="1"/>
      <c r="G163" s="1"/>
      <c r="L163" s="1"/>
    </row>
    <row r="164">
      <c r="B164" s="1"/>
      <c r="G164" s="1"/>
      <c r="L164" s="1"/>
    </row>
    <row r="165">
      <c r="B165" s="1"/>
      <c r="G165" s="1"/>
      <c r="L165" s="1"/>
    </row>
    <row r="166">
      <c r="B166" s="1"/>
      <c r="G166" s="1"/>
      <c r="L166" s="1"/>
    </row>
    <row r="167">
      <c r="B167" s="1"/>
      <c r="G167" s="1"/>
      <c r="L167" s="1"/>
    </row>
    <row r="168">
      <c r="B168" s="1"/>
      <c r="G168" s="1"/>
      <c r="L168" s="1"/>
    </row>
    <row r="169">
      <c r="B169" s="1"/>
      <c r="G169" s="1"/>
      <c r="L169" s="1"/>
    </row>
    <row r="170">
      <c r="B170" s="1"/>
      <c r="G170" s="1"/>
      <c r="L170" s="1"/>
    </row>
    <row r="171">
      <c r="B171" s="1"/>
      <c r="G171" s="1"/>
      <c r="L171" s="1"/>
    </row>
    <row r="172">
      <c r="B172" s="1"/>
      <c r="G172" s="1"/>
      <c r="L172" s="1"/>
    </row>
    <row r="173">
      <c r="B173" s="1"/>
      <c r="G173" s="1"/>
      <c r="L173" s="1"/>
    </row>
    <row r="174">
      <c r="B174" s="1"/>
      <c r="G174" s="1"/>
      <c r="L174" s="1"/>
    </row>
    <row r="175">
      <c r="B175" s="1"/>
      <c r="G175" s="1"/>
      <c r="L175" s="1"/>
    </row>
    <row r="176">
      <c r="B176" s="1"/>
      <c r="G176" s="1"/>
      <c r="L176" s="1"/>
    </row>
    <row r="177">
      <c r="B177" s="1"/>
      <c r="G177" s="1"/>
      <c r="L177" s="1"/>
    </row>
    <row r="178">
      <c r="B178" s="1"/>
      <c r="G178" s="1"/>
      <c r="L178" s="1"/>
    </row>
    <row r="179">
      <c r="B179" s="1"/>
      <c r="G179" s="1"/>
      <c r="L179" s="1"/>
    </row>
    <row r="180">
      <c r="B180" s="1"/>
      <c r="G180" s="1"/>
      <c r="L180" s="1"/>
    </row>
    <row r="181">
      <c r="B181" s="1"/>
      <c r="G181" s="1"/>
      <c r="L181" s="1"/>
    </row>
    <row r="182">
      <c r="B182" s="1"/>
      <c r="G182" s="1"/>
      <c r="L182" s="1"/>
    </row>
    <row r="183">
      <c r="B183" s="1"/>
      <c r="G183" s="1"/>
      <c r="L183" s="1"/>
    </row>
    <row r="184">
      <c r="B184" s="1"/>
      <c r="G184" s="1"/>
      <c r="L184" s="1"/>
    </row>
    <row r="185">
      <c r="B185" s="1"/>
      <c r="G185" s="1"/>
      <c r="L185" s="1"/>
    </row>
    <row r="186">
      <c r="B186" s="1"/>
      <c r="G186" s="1"/>
      <c r="L186" s="1"/>
    </row>
    <row r="187">
      <c r="B187" s="1"/>
      <c r="G187" s="1"/>
      <c r="L187" s="1"/>
    </row>
    <row r="188">
      <c r="B188" s="1"/>
      <c r="G188" s="1"/>
      <c r="L188" s="1"/>
    </row>
    <row r="189">
      <c r="B189" s="1"/>
      <c r="G189" s="1"/>
      <c r="L189" s="1"/>
    </row>
    <row r="190">
      <c r="B190" s="1"/>
      <c r="G190" s="1"/>
      <c r="L190" s="1"/>
    </row>
    <row r="191">
      <c r="B191" s="1"/>
      <c r="G191" s="1"/>
      <c r="L191" s="1"/>
    </row>
    <row r="192">
      <c r="B192" s="1"/>
      <c r="G192" s="1"/>
      <c r="L192" s="1"/>
    </row>
    <row r="193">
      <c r="B193" s="1"/>
      <c r="G193" s="1"/>
      <c r="L193" s="1"/>
    </row>
    <row r="194">
      <c r="B194" s="1"/>
      <c r="G194" s="1"/>
      <c r="L194" s="1"/>
    </row>
    <row r="195">
      <c r="B195" s="1"/>
      <c r="G195" s="1"/>
      <c r="L195" s="1"/>
    </row>
    <row r="196">
      <c r="B196" s="1"/>
      <c r="G196" s="1"/>
      <c r="L196" s="1"/>
    </row>
    <row r="197">
      <c r="B197" s="1"/>
      <c r="G197" s="1"/>
      <c r="L197" s="1"/>
    </row>
    <row r="198">
      <c r="B198" s="1"/>
      <c r="G198" s="1"/>
      <c r="L198" s="1"/>
    </row>
    <row r="199">
      <c r="B199" s="1"/>
      <c r="G199" s="1"/>
      <c r="L199" s="1"/>
    </row>
    <row r="200">
      <c r="B200" s="1"/>
      <c r="G200" s="1"/>
      <c r="L200" s="1"/>
    </row>
    <row r="201">
      <c r="B201" s="1"/>
      <c r="G201" s="1"/>
      <c r="L201" s="1"/>
    </row>
    <row r="202">
      <c r="B202" s="1"/>
      <c r="G202" s="1"/>
      <c r="L202" s="1"/>
    </row>
    <row r="203">
      <c r="B203" s="1"/>
      <c r="G203" s="1"/>
      <c r="L203" s="1"/>
    </row>
    <row r="204">
      <c r="B204" s="1"/>
      <c r="G204" s="1"/>
      <c r="L204" s="1"/>
    </row>
    <row r="205">
      <c r="B205" s="1"/>
      <c r="G205" s="1"/>
      <c r="L205" s="1"/>
    </row>
    <row r="206">
      <c r="B206" s="1"/>
      <c r="G206" s="1"/>
      <c r="L206" s="1"/>
    </row>
    <row r="207">
      <c r="B207" s="1"/>
      <c r="G207" s="1"/>
      <c r="L207" s="1"/>
    </row>
    <row r="208">
      <c r="B208" s="1"/>
      <c r="G208" s="1"/>
      <c r="L208" s="1"/>
    </row>
    <row r="209">
      <c r="B209" s="1"/>
      <c r="G209" s="1"/>
      <c r="L209" s="1"/>
    </row>
    <row r="210">
      <c r="B210" s="1"/>
      <c r="G210" s="1"/>
      <c r="L210" s="1"/>
    </row>
    <row r="211">
      <c r="B211" s="1"/>
      <c r="G211" s="1"/>
      <c r="L211" s="1"/>
    </row>
    <row r="212">
      <c r="B212" s="1"/>
      <c r="G212" s="1"/>
      <c r="L212" s="1"/>
    </row>
    <row r="213">
      <c r="B213" s="1"/>
      <c r="G213" s="1"/>
      <c r="L213" s="1"/>
    </row>
    <row r="214">
      <c r="B214" s="1"/>
      <c r="G214" s="1"/>
      <c r="L214" s="1"/>
    </row>
    <row r="215">
      <c r="B215" s="1"/>
      <c r="G215" s="1"/>
      <c r="L215" s="1"/>
    </row>
    <row r="216">
      <c r="B216" s="1"/>
      <c r="G216" s="1"/>
      <c r="L216" s="1"/>
    </row>
    <row r="217">
      <c r="B217" s="1"/>
      <c r="G217" s="1"/>
      <c r="L217" s="1"/>
    </row>
    <row r="218">
      <c r="B218" s="1"/>
      <c r="G218" s="1"/>
      <c r="L218" s="1"/>
    </row>
    <row r="219">
      <c r="B219" s="1"/>
      <c r="G219" s="1"/>
      <c r="L219" s="1"/>
    </row>
    <row r="220">
      <c r="B220" s="1"/>
      <c r="G220" s="1"/>
      <c r="L220" s="1"/>
    </row>
    <row r="221">
      <c r="B221" s="1"/>
      <c r="G221" s="1"/>
      <c r="L221" s="1"/>
    </row>
    <row r="222">
      <c r="B222" s="1"/>
      <c r="G222" s="1"/>
      <c r="L222" s="1"/>
    </row>
    <row r="223">
      <c r="B223" s="1"/>
      <c r="G223" s="1"/>
      <c r="L223" s="1"/>
    </row>
    <row r="224">
      <c r="B224" s="1"/>
      <c r="G224" s="1"/>
      <c r="L224" s="1"/>
    </row>
    <row r="225">
      <c r="B225" s="1"/>
      <c r="G225" s="1"/>
      <c r="L225" s="1"/>
    </row>
    <row r="226">
      <c r="B226" s="1"/>
      <c r="G226" s="1"/>
      <c r="L226" s="1"/>
    </row>
    <row r="227">
      <c r="B227" s="1"/>
      <c r="G227" s="1"/>
      <c r="L227" s="1"/>
    </row>
    <row r="228">
      <c r="B228" s="1"/>
      <c r="G228" s="1"/>
      <c r="L228" s="1"/>
    </row>
    <row r="229">
      <c r="B229" s="1"/>
      <c r="G229" s="1"/>
      <c r="L229" s="1"/>
    </row>
    <row r="230">
      <c r="B230" s="1"/>
      <c r="G230" s="1"/>
      <c r="L230" s="1"/>
    </row>
    <row r="231">
      <c r="B231" s="1"/>
      <c r="G231" s="1"/>
      <c r="L231" s="1"/>
    </row>
    <row r="232">
      <c r="B232" s="1"/>
      <c r="G232" s="1"/>
      <c r="L232" s="1"/>
    </row>
    <row r="233">
      <c r="B233" s="1"/>
      <c r="G233" s="1"/>
      <c r="L233" s="1"/>
    </row>
    <row r="234">
      <c r="B234" s="1"/>
      <c r="G234" s="1"/>
      <c r="L234" s="1"/>
    </row>
    <row r="235">
      <c r="B235" s="1"/>
      <c r="G235" s="1"/>
      <c r="L235" s="1"/>
    </row>
    <row r="236">
      <c r="B236" s="1"/>
      <c r="G236" s="1"/>
      <c r="L236" s="1"/>
    </row>
    <row r="237">
      <c r="B237" s="1"/>
      <c r="G237" s="1"/>
      <c r="L237" s="1"/>
    </row>
    <row r="238">
      <c r="B238" s="1"/>
      <c r="G238" s="1"/>
      <c r="L238" s="1"/>
    </row>
    <row r="239">
      <c r="B239" s="1"/>
      <c r="G239" s="1"/>
      <c r="L239" s="1"/>
    </row>
    <row r="240">
      <c r="B240" s="1"/>
      <c r="G240" s="1"/>
      <c r="L240" s="1"/>
    </row>
    <row r="241">
      <c r="B241" s="1"/>
      <c r="G241" s="1"/>
      <c r="L241" s="1"/>
    </row>
    <row r="242">
      <c r="B242" s="1"/>
      <c r="G242" s="1"/>
      <c r="L242" s="1"/>
    </row>
    <row r="243">
      <c r="B243" s="1"/>
      <c r="G243" s="1"/>
      <c r="L243" s="1"/>
    </row>
    <row r="244">
      <c r="B244" s="1"/>
      <c r="G244" s="1"/>
      <c r="L244" s="1"/>
    </row>
    <row r="245">
      <c r="B245" s="1"/>
      <c r="G245" s="1"/>
      <c r="L245" s="1"/>
    </row>
    <row r="246">
      <c r="B246" s="1"/>
      <c r="G246" s="1"/>
      <c r="L246" s="1"/>
    </row>
    <row r="247">
      <c r="B247" s="1"/>
      <c r="G247" s="1"/>
      <c r="L247" s="1"/>
    </row>
    <row r="248">
      <c r="B248" s="1"/>
      <c r="G248" s="1"/>
      <c r="L248" s="1"/>
    </row>
    <row r="249">
      <c r="B249" s="1"/>
      <c r="G249" s="1"/>
      <c r="L249" s="1"/>
    </row>
    <row r="250">
      <c r="B250" s="1"/>
      <c r="G250" s="1"/>
      <c r="L250" s="1"/>
    </row>
    <row r="251">
      <c r="B251" s="1"/>
      <c r="G251" s="1"/>
      <c r="L251" s="1"/>
    </row>
    <row r="252">
      <c r="B252" s="1"/>
      <c r="G252" s="1"/>
      <c r="L252" s="1"/>
    </row>
    <row r="253">
      <c r="B253" s="1"/>
      <c r="G253" s="1"/>
      <c r="L253" s="1"/>
    </row>
    <row r="254">
      <c r="B254" s="1"/>
      <c r="G254" s="1"/>
      <c r="L254" s="1"/>
    </row>
    <row r="255">
      <c r="B255" s="1"/>
      <c r="G255" s="1"/>
      <c r="L255" s="1"/>
    </row>
    <row r="256">
      <c r="B256" s="1"/>
      <c r="G256" s="1"/>
      <c r="L256" s="1"/>
    </row>
    <row r="257">
      <c r="B257" s="1"/>
      <c r="G257" s="1"/>
      <c r="L257" s="1"/>
    </row>
    <row r="258">
      <c r="B258" s="1"/>
      <c r="G258" s="1"/>
      <c r="L258" s="1"/>
    </row>
    <row r="259">
      <c r="B259" s="1"/>
      <c r="G259" s="1"/>
      <c r="L259" s="1"/>
    </row>
    <row r="260">
      <c r="B260" s="1"/>
      <c r="G260" s="1"/>
      <c r="L260" s="1"/>
    </row>
    <row r="261">
      <c r="B261" s="1"/>
      <c r="G261" s="1"/>
      <c r="L261" s="1"/>
    </row>
    <row r="262">
      <c r="B262" s="1"/>
      <c r="G262" s="1"/>
      <c r="L262" s="1"/>
    </row>
    <row r="263">
      <c r="B263" s="1"/>
      <c r="G263" s="1"/>
      <c r="L263" s="1"/>
    </row>
    <row r="264">
      <c r="B264" s="1"/>
      <c r="G264" s="1"/>
      <c r="L264" s="1"/>
    </row>
    <row r="265">
      <c r="B265" s="1"/>
      <c r="G265" s="1"/>
      <c r="L265" s="1"/>
    </row>
    <row r="266">
      <c r="B266" s="1"/>
      <c r="G266" s="1"/>
      <c r="L266" s="1"/>
    </row>
    <row r="267">
      <c r="B267" s="1"/>
      <c r="G267" s="1"/>
      <c r="L267" s="1"/>
    </row>
    <row r="268">
      <c r="B268" s="1"/>
      <c r="G268" s="1"/>
      <c r="L268" s="1"/>
    </row>
    <row r="269">
      <c r="B269" s="1"/>
      <c r="G269" s="1"/>
      <c r="L269" s="1"/>
    </row>
    <row r="270">
      <c r="B270" s="1"/>
      <c r="G270" s="1"/>
      <c r="L270" s="1"/>
    </row>
    <row r="271">
      <c r="B271" s="1"/>
      <c r="G271" s="1"/>
      <c r="L271" s="1"/>
    </row>
    <row r="272">
      <c r="B272" s="1"/>
      <c r="G272" s="1"/>
      <c r="L272" s="1"/>
    </row>
    <row r="273">
      <c r="B273" s="1"/>
      <c r="G273" s="1"/>
      <c r="L273" s="1"/>
    </row>
    <row r="274">
      <c r="B274" s="1"/>
      <c r="G274" s="1"/>
      <c r="L274" s="1"/>
    </row>
    <row r="275">
      <c r="B275" s="1"/>
      <c r="G275" s="1"/>
      <c r="L275" s="1"/>
    </row>
    <row r="276">
      <c r="B276" s="1"/>
      <c r="G276" s="1"/>
      <c r="L276" s="1"/>
    </row>
    <row r="277">
      <c r="B277" s="1"/>
      <c r="G277" s="1"/>
      <c r="L277" s="1"/>
    </row>
    <row r="278">
      <c r="B278" s="1"/>
      <c r="G278" s="1"/>
      <c r="L278" s="1"/>
    </row>
    <row r="279">
      <c r="B279" s="1"/>
      <c r="G279" s="1"/>
      <c r="L279" s="1"/>
    </row>
    <row r="280">
      <c r="B280" s="1"/>
      <c r="G280" s="1"/>
      <c r="L280" s="1"/>
    </row>
    <row r="281">
      <c r="B281" s="1"/>
      <c r="G281" s="1"/>
      <c r="L281" s="1"/>
    </row>
    <row r="282">
      <c r="B282" s="1"/>
      <c r="G282" s="1"/>
      <c r="L282" s="1"/>
    </row>
    <row r="283">
      <c r="B283" s="1"/>
      <c r="G283" s="1"/>
      <c r="L283" s="1"/>
    </row>
    <row r="284">
      <c r="B284" s="1"/>
      <c r="G284" s="1"/>
      <c r="L284" s="1"/>
    </row>
    <row r="285">
      <c r="B285" s="1"/>
      <c r="G285" s="1"/>
      <c r="L285" s="1"/>
    </row>
    <row r="286">
      <c r="B286" s="1"/>
      <c r="G286" s="1"/>
      <c r="L286" s="1"/>
    </row>
    <row r="287">
      <c r="B287" s="1"/>
      <c r="G287" s="1"/>
      <c r="L287" s="1"/>
    </row>
    <row r="288">
      <c r="B288" s="1"/>
      <c r="G288" s="1"/>
      <c r="L288" s="1"/>
    </row>
    <row r="289">
      <c r="B289" s="1"/>
      <c r="G289" s="1"/>
      <c r="L289" s="1"/>
    </row>
    <row r="290">
      <c r="B290" s="1"/>
      <c r="G290" s="1"/>
      <c r="L290" s="1"/>
    </row>
    <row r="291">
      <c r="B291" s="1"/>
      <c r="G291" s="1"/>
      <c r="L291" s="1"/>
    </row>
    <row r="292">
      <c r="B292" s="1"/>
      <c r="G292" s="1"/>
      <c r="L292" s="1"/>
    </row>
    <row r="293">
      <c r="B293" s="1"/>
      <c r="G293" s="1"/>
      <c r="L293" s="1"/>
    </row>
    <row r="294">
      <c r="B294" s="1"/>
      <c r="G294" s="1"/>
      <c r="L294" s="1"/>
    </row>
    <row r="295">
      <c r="B295" s="1"/>
      <c r="G295" s="1"/>
      <c r="L295" s="1"/>
    </row>
    <row r="296">
      <c r="B296" s="1"/>
      <c r="G296" s="1"/>
      <c r="L296" s="1"/>
    </row>
    <row r="297">
      <c r="B297" s="1"/>
      <c r="G297" s="1"/>
      <c r="L297" s="1"/>
    </row>
    <row r="298">
      <c r="B298" s="1"/>
      <c r="G298" s="1"/>
      <c r="L298" s="1"/>
    </row>
    <row r="299">
      <c r="B299" s="1"/>
      <c r="G299" s="1"/>
      <c r="L299" s="1"/>
    </row>
    <row r="300">
      <c r="B300" s="1"/>
      <c r="G300" s="1"/>
      <c r="L300" s="1"/>
    </row>
    <row r="301">
      <c r="B301" s="1"/>
      <c r="G301" s="1"/>
      <c r="L301" s="1"/>
    </row>
    <row r="302">
      <c r="B302" s="1"/>
      <c r="G302" s="1"/>
      <c r="L302" s="1"/>
    </row>
    <row r="303">
      <c r="B303" s="1"/>
      <c r="G303" s="1"/>
      <c r="L303" s="1"/>
    </row>
    <row r="304">
      <c r="B304" s="1"/>
      <c r="G304" s="1"/>
      <c r="L304" s="1"/>
    </row>
    <row r="305">
      <c r="B305" s="1"/>
      <c r="G305" s="1"/>
      <c r="L305" s="1"/>
    </row>
    <row r="306">
      <c r="B306" s="1"/>
      <c r="G306" s="1"/>
      <c r="L306" s="1"/>
    </row>
    <row r="307">
      <c r="B307" s="1"/>
      <c r="G307" s="1"/>
      <c r="L307" s="1"/>
    </row>
    <row r="308">
      <c r="B308" s="1"/>
      <c r="G308" s="1"/>
      <c r="L308" s="1"/>
    </row>
    <row r="309">
      <c r="B309" s="1"/>
      <c r="G309" s="1"/>
      <c r="L309" s="1"/>
    </row>
    <row r="310">
      <c r="B310" s="1"/>
      <c r="G310" s="1"/>
      <c r="L310" s="1"/>
    </row>
    <row r="311">
      <c r="B311" s="1"/>
      <c r="G311" s="1"/>
      <c r="L311" s="1"/>
    </row>
    <row r="312">
      <c r="B312" s="1"/>
      <c r="G312" s="1"/>
      <c r="L312" s="1"/>
    </row>
    <row r="313">
      <c r="B313" s="1"/>
      <c r="G313" s="1"/>
      <c r="L313" s="1"/>
    </row>
    <row r="314">
      <c r="B314" s="1"/>
      <c r="G314" s="1"/>
      <c r="L314" s="1"/>
    </row>
    <row r="315">
      <c r="B315" s="1"/>
      <c r="G315" s="1"/>
      <c r="L315" s="1"/>
    </row>
    <row r="316">
      <c r="B316" s="1"/>
      <c r="G316" s="1"/>
      <c r="L316" s="1"/>
    </row>
    <row r="317">
      <c r="B317" s="1"/>
      <c r="G317" s="1"/>
      <c r="L317" s="1"/>
    </row>
    <row r="318">
      <c r="B318" s="1"/>
      <c r="G318" s="1"/>
      <c r="L318" s="1"/>
    </row>
    <row r="319">
      <c r="B319" s="1"/>
      <c r="G319" s="1"/>
      <c r="L319" s="1"/>
    </row>
    <row r="320">
      <c r="B320" s="1"/>
      <c r="G320" s="1"/>
      <c r="L320" s="1"/>
    </row>
    <row r="321">
      <c r="B321" s="1"/>
      <c r="G321" s="1"/>
      <c r="L321" s="1"/>
    </row>
    <row r="322">
      <c r="B322" s="1"/>
      <c r="G322" s="1"/>
      <c r="L322" s="1"/>
    </row>
    <row r="323">
      <c r="B323" s="1"/>
      <c r="G323" s="1"/>
      <c r="L323" s="1"/>
    </row>
    <row r="324">
      <c r="B324" s="1"/>
      <c r="G324" s="1"/>
      <c r="L324" s="1"/>
    </row>
    <row r="325">
      <c r="B325" s="1"/>
      <c r="G325" s="1"/>
      <c r="L325" s="1"/>
    </row>
    <row r="326">
      <c r="B326" s="1"/>
      <c r="G326" s="1"/>
      <c r="L326" s="1"/>
    </row>
    <row r="327">
      <c r="B327" s="1"/>
      <c r="G327" s="1"/>
      <c r="L327" s="1"/>
    </row>
    <row r="328">
      <c r="B328" s="1"/>
      <c r="G328" s="1"/>
      <c r="L328" s="1"/>
    </row>
    <row r="329">
      <c r="B329" s="1"/>
      <c r="G329" s="1"/>
      <c r="L329" s="1"/>
    </row>
    <row r="330">
      <c r="B330" s="1"/>
      <c r="G330" s="1"/>
      <c r="L330" s="1"/>
    </row>
    <row r="331">
      <c r="B331" s="1"/>
      <c r="G331" s="1"/>
      <c r="L331" s="1"/>
    </row>
    <row r="332">
      <c r="B332" s="1"/>
      <c r="G332" s="1"/>
      <c r="L332" s="1"/>
    </row>
    <row r="333">
      <c r="B333" s="1"/>
      <c r="G333" s="1"/>
      <c r="L333" s="1"/>
    </row>
    <row r="334">
      <c r="B334" s="1"/>
      <c r="G334" s="1"/>
      <c r="L334" s="1"/>
    </row>
    <row r="335">
      <c r="B335" s="1"/>
      <c r="G335" s="1"/>
      <c r="L335" s="1"/>
    </row>
    <row r="336">
      <c r="B336" s="1"/>
      <c r="G336" s="1"/>
      <c r="L336" s="1"/>
    </row>
    <row r="337">
      <c r="B337" s="1"/>
      <c r="G337" s="1"/>
      <c r="L337" s="1"/>
    </row>
    <row r="338">
      <c r="B338" s="1"/>
      <c r="G338" s="1"/>
      <c r="L338" s="1"/>
    </row>
    <row r="339">
      <c r="B339" s="1"/>
      <c r="G339" s="1"/>
      <c r="L339" s="1"/>
    </row>
    <row r="340">
      <c r="B340" s="1"/>
      <c r="G340" s="1"/>
      <c r="L340" s="1"/>
    </row>
    <row r="341">
      <c r="B341" s="1"/>
      <c r="G341" s="1"/>
      <c r="L341" s="1"/>
    </row>
    <row r="342">
      <c r="B342" s="1"/>
      <c r="G342" s="1"/>
      <c r="L342" s="1"/>
    </row>
    <row r="343">
      <c r="B343" s="1"/>
      <c r="G343" s="1"/>
      <c r="L343" s="1"/>
    </row>
    <row r="344">
      <c r="B344" s="1"/>
      <c r="G344" s="1"/>
      <c r="L344" s="1"/>
    </row>
    <row r="345">
      <c r="B345" s="1"/>
      <c r="G345" s="1"/>
      <c r="L345" s="1"/>
    </row>
    <row r="346">
      <c r="B346" s="1"/>
      <c r="G346" s="1"/>
      <c r="L346" s="1"/>
    </row>
    <row r="347">
      <c r="B347" s="1"/>
      <c r="G347" s="1"/>
      <c r="L347" s="1"/>
    </row>
    <row r="348">
      <c r="B348" s="1"/>
      <c r="G348" s="1"/>
      <c r="L348" s="1"/>
    </row>
    <row r="349">
      <c r="B349" s="1"/>
      <c r="G349" s="1"/>
      <c r="L349" s="1"/>
    </row>
    <row r="350">
      <c r="B350" s="1"/>
      <c r="G350" s="1"/>
      <c r="L350" s="1"/>
    </row>
    <row r="351">
      <c r="B351" s="1"/>
      <c r="G351" s="1"/>
      <c r="L351" s="1"/>
    </row>
    <row r="352">
      <c r="B352" s="1"/>
      <c r="G352" s="1"/>
      <c r="L352" s="1"/>
    </row>
    <row r="353">
      <c r="B353" s="1"/>
      <c r="G353" s="1"/>
      <c r="L353" s="1"/>
    </row>
    <row r="354">
      <c r="B354" s="1"/>
      <c r="G354" s="1"/>
      <c r="L354" s="1"/>
    </row>
    <row r="355">
      <c r="B355" s="1"/>
      <c r="G355" s="1"/>
      <c r="L355" s="1"/>
    </row>
    <row r="356">
      <c r="B356" s="1"/>
      <c r="G356" s="1"/>
      <c r="L356" s="1"/>
    </row>
    <row r="357">
      <c r="B357" s="1"/>
      <c r="G357" s="1"/>
      <c r="L357" s="1"/>
    </row>
    <row r="358">
      <c r="B358" s="1"/>
      <c r="G358" s="1"/>
      <c r="L358" s="1"/>
    </row>
    <row r="359">
      <c r="B359" s="1"/>
      <c r="G359" s="1"/>
      <c r="L359" s="1"/>
    </row>
    <row r="360">
      <c r="B360" s="1"/>
      <c r="G360" s="1"/>
      <c r="L360" s="1"/>
    </row>
    <row r="361">
      <c r="B361" s="1"/>
      <c r="G361" s="1"/>
      <c r="L361" s="1"/>
    </row>
    <row r="362">
      <c r="B362" s="1"/>
      <c r="G362" s="1"/>
      <c r="L362" s="1"/>
    </row>
    <row r="363">
      <c r="B363" s="1"/>
      <c r="G363" s="1"/>
      <c r="L363" s="1"/>
    </row>
    <row r="364">
      <c r="B364" s="1"/>
      <c r="G364" s="1"/>
      <c r="L364" s="1"/>
    </row>
    <row r="365">
      <c r="B365" s="1"/>
      <c r="G365" s="1"/>
      <c r="L365" s="1"/>
    </row>
    <row r="366">
      <c r="B366" s="1"/>
      <c r="G366" s="1"/>
      <c r="L366" s="1"/>
    </row>
    <row r="367">
      <c r="B367" s="1"/>
      <c r="G367" s="1"/>
      <c r="L367" s="1"/>
    </row>
    <row r="368">
      <c r="B368" s="1"/>
      <c r="G368" s="1"/>
      <c r="L368" s="1"/>
    </row>
    <row r="369">
      <c r="B369" s="1"/>
      <c r="G369" s="1"/>
      <c r="L369" s="1"/>
    </row>
    <row r="370">
      <c r="B370" s="1"/>
      <c r="G370" s="1"/>
      <c r="L370" s="1"/>
    </row>
    <row r="371">
      <c r="B371" s="1"/>
      <c r="G371" s="1"/>
      <c r="L371" s="1"/>
    </row>
    <row r="372">
      <c r="B372" s="1"/>
      <c r="G372" s="1"/>
      <c r="L372" s="1"/>
    </row>
    <row r="373">
      <c r="B373" s="1"/>
      <c r="G373" s="1"/>
      <c r="L373" s="1"/>
    </row>
    <row r="374">
      <c r="B374" s="1"/>
      <c r="G374" s="1"/>
      <c r="L374" s="1"/>
    </row>
    <row r="375">
      <c r="B375" s="1"/>
      <c r="G375" s="1"/>
      <c r="L375" s="1"/>
    </row>
    <row r="376">
      <c r="B376" s="1"/>
      <c r="G376" s="1"/>
      <c r="L376" s="1"/>
    </row>
    <row r="377">
      <c r="B377" s="1"/>
      <c r="G377" s="1"/>
      <c r="L377" s="1"/>
    </row>
    <row r="378">
      <c r="B378" s="1"/>
      <c r="G378" s="1"/>
      <c r="L378" s="1"/>
    </row>
    <row r="379">
      <c r="B379" s="1"/>
      <c r="G379" s="1"/>
      <c r="L379" s="1"/>
    </row>
    <row r="380">
      <c r="B380" s="1"/>
      <c r="G380" s="1"/>
      <c r="L380" s="1"/>
    </row>
    <row r="381">
      <c r="B381" s="1"/>
      <c r="G381" s="1"/>
      <c r="L381" s="1"/>
    </row>
    <row r="382">
      <c r="B382" s="1"/>
      <c r="G382" s="1"/>
      <c r="L382" s="1"/>
    </row>
    <row r="383">
      <c r="B383" s="1"/>
      <c r="G383" s="1"/>
      <c r="L383" s="1"/>
    </row>
    <row r="384">
      <c r="B384" s="1"/>
      <c r="G384" s="1"/>
      <c r="L384" s="1"/>
    </row>
    <row r="385">
      <c r="B385" s="1"/>
      <c r="G385" s="1"/>
      <c r="L385" s="1"/>
    </row>
    <row r="386">
      <c r="B386" s="1"/>
      <c r="G386" s="1"/>
      <c r="L386" s="1"/>
    </row>
    <row r="387">
      <c r="B387" s="1"/>
      <c r="G387" s="1"/>
      <c r="L387" s="1"/>
    </row>
    <row r="388">
      <c r="B388" s="1"/>
      <c r="G388" s="1"/>
      <c r="L388" s="1"/>
    </row>
    <row r="389">
      <c r="B389" s="1"/>
      <c r="G389" s="1"/>
      <c r="L389" s="1"/>
    </row>
    <row r="390">
      <c r="B390" s="1"/>
      <c r="G390" s="1"/>
      <c r="L390" s="1"/>
    </row>
    <row r="391">
      <c r="B391" s="1"/>
      <c r="G391" s="1"/>
      <c r="L391" s="1"/>
    </row>
    <row r="392">
      <c r="B392" s="1"/>
      <c r="G392" s="1"/>
      <c r="L392" s="1"/>
    </row>
    <row r="393">
      <c r="B393" s="1"/>
      <c r="G393" s="1"/>
      <c r="L393" s="1"/>
    </row>
    <row r="394">
      <c r="B394" s="1"/>
      <c r="G394" s="1"/>
      <c r="L394" s="1"/>
    </row>
    <row r="395">
      <c r="B395" s="1"/>
      <c r="G395" s="1"/>
      <c r="L395" s="1"/>
    </row>
    <row r="396">
      <c r="B396" s="1"/>
      <c r="G396" s="1"/>
      <c r="L396" s="1"/>
    </row>
    <row r="397">
      <c r="B397" s="1"/>
      <c r="G397" s="1"/>
      <c r="L397" s="1"/>
    </row>
    <row r="398">
      <c r="B398" s="1"/>
      <c r="G398" s="1"/>
      <c r="L398" s="1"/>
    </row>
    <row r="399">
      <c r="B399" s="1"/>
      <c r="G399" s="1"/>
      <c r="L399" s="1"/>
    </row>
    <row r="400">
      <c r="B400" s="1"/>
      <c r="G400" s="1"/>
      <c r="L400" s="1"/>
    </row>
    <row r="401">
      <c r="B401" s="1"/>
      <c r="G401" s="1"/>
      <c r="L401" s="1"/>
    </row>
    <row r="402">
      <c r="B402" s="1"/>
      <c r="G402" s="1"/>
      <c r="L402" s="1"/>
    </row>
    <row r="403">
      <c r="B403" s="1"/>
      <c r="G403" s="1"/>
      <c r="L403" s="1"/>
    </row>
    <row r="404">
      <c r="B404" s="1"/>
      <c r="G404" s="1"/>
      <c r="L404" s="1"/>
    </row>
    <row r="405">
      <c r="B405" s="1"/>
      <c r="G405" s="1"/>
      <c r="L405" s="1"/>
    </row>
    <row r="406">
      <c r="B406" s="1"/>
      <c r="G406" s="1"/>
      <c r="L406" s="1"/>
    </row>
    <row r="407">
      <c r="B407" s="1"/>
      <c r="G407" s="1"/>
      <c r="L407" s="1"/>
    </row>
    <row r="408">
      <c r="B408" s="1"/>
      <c r="G408" s="1"/>
      <c r="L408" s="1"/>
    </row>
    <row r="409">
      <c r="B409" s="1"/>
      <c r="G409" s="1"/>
      <c r="L409" s="1"/>
    </row>
    <row r="410">
      <c r="B410" s="1"/>
      <c r="G410" s="1"/>
      <c r="L410" s="1"/>
    </row>
    <row r="411">
      <c r="B411" s="1"/>
      <c r="G411" s="1"/>
      <c r="L411" s="1"/>
    </row>
    <row r="412">
      <c r="B412" s="1"/>
      <c r="G412" s="1"/>
      <c r="L412" s="1"/>
    </row>
    <row r="413">
      <c r="B413" s="1"/>
      <c r="G413" s="1"/>
      <c r="L413" s="1"/>
    </row>
    <row r="414">
      <c r="B414" s="1"/>
      <c r="G414" s="1"/>
      <c r="L414" s="1"/>
    </row>
    <row r="415">
      <c r="B415" s="1"/>
      <c r="G415" s="1"/>
      <c r="L415" s="1"/>
    </row>
    <row r="416">
      <c r="B416" s="1"/>
      <c r="G416" s="1"/>
      <c r="L416" s="1"/>
    </row>
    <row r="417">
      <c r="B417" s="1"/>
      <c r="G417" s="1"/>
      <c r="L417" s="1"/>
    </row>
    <row r="418">
      <c r="B418" s="1"/>
      <c r="G418" s="1"/>
      <c r="L418" s="1"/>
    </row>
    <row r="419">
      <c r="B419" s="1"/>
      <c r="G419" s="1"/>
      <c r="L419" s="1"/>
    </row>
    <row r="420">
      <c r="B420" s="1"/>
      <c r="G420" s="1"/>
      <c r="L420" s="1"/>
    </row>
    <row r="421">
      <c r="B421" s="1"/>
      <c r="G421" s="1"/>
      <c r="L421" s="1"/>
    </row>
    <row r="422">
      <c r="B422" s="1"/>
      <c r="G422" s="1"/>
      <c r="L422" s="1"/>
    </row>
    <row r="423">
      <c r="B423" s="1"/>
      <c r="G423" s="1"/>
      <c r="L423" s="1"/>
    </row>
    <row r="424">
      <c r="B424" s="1"/>
      <c r="G424" s="1"/>
      <c r="L424" s="1"/>
    </row>
    <row r="425">
      <c r="B425" s="1"/>
      <c r="G425" s="1"/>
      <c r="L425" s="1"/>
    </row>
    <row r="426">
      <c r="B426" s="1"/>
      <c r="G426" s="1"/>
      <c r="L426" s="1"/>
    </row>
    <row r="427">
      <c r="B427" s="1"/>
      <c r="G427" s="1"/>
      <c r="L427" s="1"/>
    </row>
    <row r="428">
      <c r="B428" s="1"/>
      <c r="G428" s="1"/>
      <c r="L428" s="1"/>
    </row>
    <row r="429">
      <c r="B429" s="1"/>
      <c r="G429" s="1"/>
      <c r="L429" s="1"/>
    </row>
    <row r="430">
      <c r="B430" s="1"/>
      <c r="G430" s="1"/>
      <c r="L430" s="1"/>
    </row>
    <row r="431">
      <c r="B431" s="1"/>
      <c r="G431" s="1"/>
      <c r="L431" s="1"/>
    </row>
    <row r="432">
      <c r="B432" s="1"/>
      <c r="G432" s="1"/>
      <c r="L432" s="1"/>
    </row>
    <row r="433">
      <c r="B433" s="1"/>
      <c r="G433" s="1"/>
      <c r="L433" s="1"/>
    </row>
    <row r="434">
      <c r="B434" s="1"/>
      <c r="G434" s="1"/>
      <c r="L434" s="1"/>
    </row>
    <row r="435">
      <c r="B435" s="1"/>
      <c r="G435" s="1"/>
      <c r="L435" s="1"/>
    </row>
    <row r="436">
      <c r="B436" s="1"/>
      <c r="G436" s="1"/>
      <c r="L436" s="1"/>
    </row>
    <row r="437">
      <c r="B437" s="1"/>
      <c r="G437" s="1"/>
      <c r="L437" s="1"/>
    </row>
    <row r="438">
      <c r="B438" s="1"/>
      <c r="G438" s="1"/>
      <c r="L438" s="1"/>
    </row>
    <row r="439">
      <c r="B439" s="1"/>
      <c r="G439" s="1"/>
      <c r="L439" s="1"/>
    </row>
    <row r="440">
      <c r="B440" s="1"/>
      <c r="G440" s="1"/>
      <c r="L440" s="1"/>
    </row>
    <row r="441">
      <c r="B441" s="1"/>
      <c r="G441" s="1"/>
      <c r="L441" s="1"/>
    </row>
    <row r="442">
      <c r="B442" s="1"/>
      <c r="G442" s="1"/>
      <c r="L442" s="1"/>
    </row>
    <row r="443">
      <c r="B443" s="1"/>
      <c r="G443" s="1"/>
      <c r="L443" s="1"/>
    </row>
    <row r="444">
      <c r="B444" s="1"/>
      <c r="G444" s="1"/>
      <c r="L444" s="1"/>
    </row>
    <row r="445">
      <c r="B445" s="1"/>
      <c r="G445" s="1"/>
      <c r="L445" s="1"/>
    </row>
    <row r="446">
      <c r="B446" s="1"/>
      <c r="G446" s="1"/>
      <c r="L446" s="1"/>
    </row>
    <row r="447">
      <c r="B447" s="1"/>
      <c r="G447" s="1"/>
      <c r="L447" s="1"/>
    </row>
    <row r="448">
      <c r="B448" s="1"/>
      <c r="G448" s="1"/>
      <c r="L448" s="1"/>
    </row>
    <row r="449">
      <c r="B449" s="1"/>
      <c r="G449" s="1"/>
      <c r="L449" s="1"/>
    </row>
    <row r="450">
      <c r="B450" s="1"/>
      <c r="G450" s="1"/>
      <c r="L450" s="1"/>
    </row>
    <row r="451">
      <c r="B451" s="1"/>
      <c r="G451" s="1"/>
      <c r="L451" s="1"/>
    </row>
    <row r="452">
      <c r="B452" s="1"/>
      <c r="G452" s="1"/>
      <c r="L452" s="1"/>
    </row>
    <row r="453">
      <c r="B453" s="1"/>
      <c r="G453" s="1"/>
      <c r="L453" s="1"/>
    </row>
    <row r="454">
      <c r="B454" s="1"/>
      <c r="G454" s="1"/>
      <c r="L454" s="1"/>
    </row>
    <row r="455">
      <c r="B455" s="1"/>
      <c r="G455" s="1"/>
      <c r="L455" s="1"/>
    </row>
    <row r="456">
      <c r="B456" s="1"/>
      <c r="G456" s="1"/>
      <c r="L456" s="1"/>
    </row>
    <row r="457">
      <c r="B457" s="1"/>
      <c r="G457" s="1"/>
      <c r="L457" s="1"/>
    </row>
    <row r="458">
      <c r="B458" s="1"/>
      <c r="G458" s="1"/>
      <c r="L458" s="1"/>
    </row>
    <row r="459">
      <c r="B459" s="1"/>
      <c r="G459" s="1"/>
      <c r="L459" s="1"/>
    </row>
    <row r="460">
      <c r="B460" s="1"/>
      <c r="G460" s="1"/>
      <c r="L460" s="1"/>
    </row>
    <row r="461">
      <c r="B461" s="1"/>
      <c r="G461" s="1"/>
      <c r="L461" s="1"/>
    </row>
    <row r="462">
      <c r="B462" s="1"/>
      <c r="G462" s="1"/>
      <c r="L462" s="1"/>
    </row>
    <row r="463">
      <c r="B463" s="1"/>
      <c r="G463" s="1"/>
      <c r="L463" s="1"/>
    </row>
    <row r="464">
      <c r="B464" s="1"/>
      <c r="G464" s="1"/>
      <c r="L464" s="1"/>
    </row>
    <row r="465">
      <c r="B465" s="1"/>
      <c r="G465" s="1"/>
      <c r="L465" s="1"/>
    </row>
    <row r="466">
      <c r="B466" s="1"/>
      <c r="G466" s="1"/>
      <c r="L466" s="1"/>
    </row>
    <row r="467">
      <c r="B467" s="1"/>
      <c r="G467" s="1"/>
      <c r="L467" s="1"/>
    </row>
    <row r="468">
      <c r="B468" s="1"/>
      <c r="G468" s="1"/>
      <c r="L468" s="1"/>
    </row>
    <row r="469">
      <c r="B469" s="1"/>
      <c r="G469" s="1"/>
      <c r="L469" s="1"/>
    </row>
    <row r="470">
      <c r="B470" s="1"/>
      <c r="G470" s="1"/>
      <c r="L470" s="1"/>
    </row>
    <row r="471">
      <c r="B471" s="1"/>
      <c r="G471" s="1"/>
      <c r="L471" s="1"/>
    </row>
    <row r="472">
      <c r="B472" s="1"/>
      <c r="G472" s="1"/>
      <c r="L472" s="1"/>
    </row>
    <row r="473">
      <c r="B473" s="1"/>
      <c r="G473" s="1"/>
      <c r="L473" s="1"/>
    </row>
    <row r="474">
      <c r="B474" s="1"/>
      <c r="G474" s="1"/>
      <c r="L474" s="1"/>
    </row>
    <row r="475">
      <c r="B475" s="1"/>
      <c r="G475" s="1"/>
      <c r="L475" s="1"/>
    </row>
    <row r="476">
      <c r="B476" s="1"/>
      <c r="G476" s="1"/>
      <c r="L476" s="1"/>
    </row>
    <row r="477">
      <c r="B477" s="1"/>
      <c r="G477" s="1"/>
      <c r="L477" s="1"/>
    </row>
    <row r="478">
      <c r="B478" s="1"/>
      <c r="G478" s="1"/>
      <c r="L478" s="1"/>
    </row>
    <row r="479">
      <c r="B479" s="1"/>
      <c r="G479" s="1"/>
      <c r="L479" s="1"/>
    </row>
    <row r="480">
      <c r="B480" s="1"/>
      <c r="G480" s="1"/>
      <c r="L480" s="1"/>
    </row>
    <row r="481">
      <c r="B481" s="1"/>
      <c r="G481" s="1"/>
      <c r="L481" s="1"/>
    </row>
    <row r="482">
      <c r="B482" s="1"/>
      <c r="G482" s="1"/>
      <c r="L482" s="1"/>
    </row>
    <row r="483">
      <c r="B483" s="1"/>
      <c r="G483" s="1"/>
      <c r="L483" s="1"/>
    </row>
    <row r="484">
      <c r="B484" s="1"/>
      <c r="G484" s="1"/>
      <c r="L484" s="1"/>
    </row>
    <row r="485">
      <c r="B485" s="1"/>
      <c r="G485" s="1"/>
      <c r="L485" s="1"/>
    </row>
    <row r="486">
      <c r="B486" s="1"/>
      <c r="G486" s="1"/>
      <c r="L486" s="1"/>
    </row>
    <row r="487">
      <c r="B487" s="1"/>
      <c r="G487" s="1"/>
      <c r="L487" s="1"/>
    </row>
    <row r="488">
      <c r="B488" s="1"/>
      <c r="G488" s="1"/>
      <c r="L488" s="1"/>
    </row>
    <row r="489">
      <c r="B489" s="1"/>
      <c r="G489" s="1"/>
      <c r="L489" s="1"/>
    </row>
    <row r="490">
      <c r="B490" s="1"/>
      <c r="G490" s="1"/>
      <c r="L490" s="1"/>
    </row>
    <row r="491">
      <c r="B491" s="1"/>
      <c r="G491" s="1"/>
      <c r="L491" s="1"/>
    </row>
    <row r="492">
      <c r="B492" s="1"/>
      <c r="G492" s="1"/>
      <c r="L492" s="1"/>
    </row>
    <row r="493">
      <c r="B493" s="1"/>
      <c r="G493" s="1"/>
      <c r="L493" s="1"/>
    </row>
    <row r="494">
      <c r="B494" s="1"/>
      <c r="G494" s="1"/>
      <c r="L494" s="1"/>
    </row>
    <row r="495">
      <c r="B495" s="1"/>
      <c r="G495" s="1"/>
      <c r="L495" s="1"/>
    </row>
    <row r="496">
      <c r="B496" s="1"/>
      <c r="G496" s="1"/>
      <c r="L496" s="1"/>
    </row>
    <row r="497">
      <c r="B497" s="1"/>
      <c r="G497" s="1"/>
      <c r="L497" s="1"/>
    </row>
    <row r="498">
      <c r="B498" s="1"/>
      <c r="G498" s="1"/>
      <c r="L498" s="1"/>
    </row>
    <row r="499">
      <c r="B499" s="1"/>
      <c r="G499" s="1"/>
      <c r="L499" s="1"/>
    </row>
    <row r="500">
      <c r="B500" s="1"/>
      <c r="G500" s="1"/>
      <c r="L500" s="1"/>
    </row>
    <row r="501">
      <c r="B501" s="1"/>
      <c r="G501" s="1"/>
      <c r="L501" s="1"/>
    </row>
    <row r="502">
      <c r="B502" s="1"/>
      <c r="G502" s="1"/>
      <c r="L502" s="1"/>
    </row>
    <row r="503">
      <c r="B503" s="1"/>
      <c r="G503" s="1"/>
      <c r="L503" s="1"/>
    </row>
    <row r="504">
      <c r="B504" s="1"/>
      <c r="G504" s="1"/>
      <c r="L504" s="1"/>
    </row>
    <row r="505">
      <c r="B505" s="1"/>
      <c r="G505" s="1"/>
      <c r="L505" s="1"/>
    </row>
    <row r="506">
      <c r="B506" s="1"/>
      <c r="G506" s="1"/>
      <c r="L506" s="1"/>
    </row>
    <row r="507">
      <c r="B507" s="1"/>
      <c r="G507" s="1"/>
      <c r="L507" s="1"/>
    </row>
    <row r="508">
      <c r="B508" s="1"/>
      <c r="G508" s="1"/>
      <c r="L508" s="1"/>
    </row>
    <row r="509">
      <c r="B509" s="1"/>
      <c r="G509" s="1"/>
      <c r="L509" s="1"/>
    </row>
    <row r="510">
      <c r="B510" s="1"/>
      <c r="G510" s="1"/>
      <c r="L510" s="1"/>
    </row>
    <row r="511">
      <c r="B511" s="1"/>
      <c r="G511" s="1"/>
      <c r="L511" s="1"/>
    </row>
    <row r="512">
      <c r="B512" s="1"/>
      <c r="G512" s="1"/>
      <c r="L512" s="1"/>
    </row>
    <row r="513">
      <c r="B513" s="1"/>
      <c r="G513" s="1"/>
      <c r="L513" s="1"/>
    </row>
    <row r="514">
      <c r="B514" s="1"/>
      <c r="G514" s="1"/>
      <c r="L514" s="1"/>
    </row>
    <row r="515">
      <c r="B515" s="1"/>
      <c r="G515" s="1"/>
      <c r="L515" s="1"/>
    </row>
    <row r="516">
      <c r="B516" s="1"/>
      <c r="G516" s="1"/>
      <c r="L516" s="1"/>
    </row>
    <row r="517">
      <c r="B517" s="1"/>
      <c r="G517" s="1"/>
      <c r="L517" s="1"/>
    </row>
    <row r="518">
      <c r="B518" s="1"/>
      <c r="G518" s="1"/>
      <c r="L518" s="1"/>
    </row>
    <row r="519">
      <c r="B519" s="1"/>
      <c r="G519" s="1"/>
      <c r="L519" s="1"/>
    </row>
    <row r="520">
      <c r="B520" s="1"/>
      <c r="G520" s="1"/>
      <c r="L520" s="1"/>
    </row>
    <row r="521">
      <c r="B521" s="1"/>
      <c r="G521" s="1"/>
      <c r="L521" s="1"/>
    </row>
    <row r="522">
      <c r="B522" s="1"/>
      <c r="G522" s="1"/>
      <c r="L522" s="1"/>
    </row>
    <row r="523">
      <c r="B523" s="1"/>
      <c r="G523" s="1"/>
      <c r="L523" s="1"/>
    </row>
    <row r="524">
      <c r="B524" s="1"/>
      <c r="G524" s="1"/>
      <c r="L524" s="1"/>
    </row>
    <row r="525">
      <c r="B525" s="1"/>
      <c r="G525" s="1"/>
      <c r="L525" s="1"/>
    </row>
    <row r="526">
      <c r="B526" s="1"/>
      <c r="G526" s="1"/>
      <c r="L526" s="1"/>
    </row>
    <row r="527">
      <c r="B527" s="1"/>
      <c r="G527" s="1"/>
      <c r="L527" s="1"/>
    </row>
    <row r="528">
      <c r="B528" s="1"/>
      <c r="G528" s="1"/>
      <c r="L528" s="1"/>
    </row>
    <row r="529">
      <c r="B529" s="1"/>
      <c r="G529" s="1"/>
      <c r="L529" s="1"/>
    </row>
    <row r="530">
      <c r="B530" s="1"/>
      <c r="G530" s="1"/>
      <c r="L530" s="1"/>
    </row>
    <row r="531">
      <c r="B531" s="1"/>
      <c r="G531" s="1"/>
      <c r="L531" s="1"/>
    </row>
    <row r="532">
      <c r="B532" s="1"/>
      <c r="G532" s="1"/>
      <c r="L532" s="1"/>
    </row>
    <row r="533">
      <c r="B533" s="1"/>
      <c r="G533" s="1"/>
      <c r="L533" s="1"/>
    </row>
    <row r="534">
      <c r="B534" s="1"/>
      <c r="G534" s="1"/>
      <c r="L534" s="1"/>
    </row>
    <row r="535">
      <c r="B535" s="1"/>
      <c r="G535" s="1"/>
      <c r="L535" s="1"/>
    </row>
    <row r="536">
      <c r="B536" s="1"/>
      <c r="G536" s="1"/>
      <c r="L536" s="1"/>
    </row>
    <row r="537">
      <c r="B537" s="1"/>
      <c r="G537" s="1"/>
      <c r="L537" s="1"/>
    </row>
    <row r="538">
      <c r="B538" s="1"/>
      <c r="G538" s="1"/>
      <c r="L538" s="1"/>
    </row>
    <row r="539">
      <c r="B539" s="1"/>
      <c r="G539" s="1"/>
      <c r="L539" s="1"/>
    </row>
    <row r="540">
      <c r="B540" s="1"/>
      <c r="G540" s="1"/>
      <c r="L540" s="1"/>
    </row>
    <row r="541">
      <c r="B541" s="1"/>
      <c r="G541" s="1"/>
      <c r="L541" s="1"/>
    </row>
    <row r="542">
      <c r="B542" s="1"/>
      <c r="G542" s="1"/>
      <c r="L542" s="1"/>
    </row>
    <row r="543">
      <c r="B543" s="1"/>
      <c r="G543" s="1"/>
      <c r="L543" s="1"/>
    </row>
    <row r="544">
      <c r="B544" s="1"/>
      <c r="G544" s="1"/>
      <c r="L544" s="1"/>
    </row>
    <row r="545">
      <c r="B545" s="1"/>
      <c r="G545" s="1"/>
      <c r="L545" s="1"/>
    </row>
    <row r="546">
      <c r="B546" s="1"/>
      <c r="G546" s="1"/>
      <c r="L546" s="1"/>
    </row>
    <row r="547">
      <c r="B547" s="1"/>
      <c r="G547" s="1"/>
      <c r="L547" s="1"/>
    </row>
    <row r="548">
      <c r="B548" s="1"/>
      <c r="G548" s="1"/>
      <c r="L548" s="1"/>
    </row>
    <row r="549">
      <c r="B549" s="1"/>
      <c r="G549" s="1"/>
      <c r="L549" s="1"/>
    </row>
    <row r="550">
      <c r="B550" s="1"/>
      <c r="G550" s="1"/>
      <c r="L550" s="1"/>
    </row>
    <row r="551">
      <c r="B551" s="1"/>
      <c r="G551" s="1"/>
      <c r="L551" s="1"/>
    </row>
    <row r="552">
      <c r="B552" s="1"/>
      <c r="G552" s="1"/>
      <c r="L552" s="1"/>
    </row>
    <row r="553">
      <c r="B553" s="1"/>
      <c r="G553" s="1"/>
      <c r="L553" s="1"/>
    </row>
    <row r="554">
      <c r="B554" s="1"/>
      <c r="G554" s="1"/>
      <c r="L554" s="1"/>
    </row>
    <row r="555">
      <c r="B555" s="1"/>
      <c r="G555" s="1"/>
      <c r="L555" s="1"/>
    </row>
    <row r="556">
      <c r="B556" s="1"/>
      <c r="G556" s="1"/>
      <c r="L556" s="1"/>
    </row>
    <row r="557">
      <c r="B557" s="1"/>
      <c r="G557" s="1"/>
      <c r="L557" s="1"/>
    </row>
    <row r="558">
      <c r="B558" s="1"/>
      <c r="G558" s="1"/>
      <c r="L558" s="1"/>
    </row>
    <row r="559">
      <c r="B559" s="1"/>
      <c r="G559" s="1"/>
      <c r="L559" s="1"/>
    </row>
    <row r="560">
      <c r="B560" s="1"/>
      <c r="G560" s="1"/>
      <c r="L560" s="1"/>
    </row>
    <row r="561">
      <c r="B561" s="1"/>
      <c r="G561" s="1"/>
      <c r="L561" s="1"/>
    </row>
    <row r="562">
      <c r="B562" s="1"/>
      <c r="G562" s="1"/>
      <c r="L562" s="1"/>
    </row>
    <row r="563">
      <c r="B563" s="1"/>
      <c r="G563" s="1"/>
      <c r="L563" s="1"/>
    </row>
    <row r="564">
      <c r="B564" s="1"/>
      <c r="G564" s="1"/>
      <c r="L564" s="1"/>
    </row>
    <row r="565">
      <c r="B565" s="1"/>
      <c r="G565" s="1"/>
      <c r="L565" s="1"/>
    </row>
    <row r="566">
      <c r="B566" s="1"/>
      <c r="G566" s="1"/>
      <c r="L566" s="1"/>
    </row>
    <row r="567">
      <c r="B567" s="1"/>
      <c r="G567" s="1"/>
      <c r="L567" s="1"/>
    </row>
    <row r="568">
      <c r="B568" s="1"/>
      <c r="G568" s="1"/>
      <c r="L568" s="1"/>
    </row>
    <row r="569">
      <c r="B569" s="1"/>
      <c r="G569" s="1"/>
      <c r="L569" s="1"/>
    </row>
    <row r="570">
      <c r="B570" s="1"/>
      <c r="G570" s="1"/>
      <c r="L570" s="1"/>
    </row>
    <row r="571">
      <c r="B571" s="1"/>
      <c r="G571" s="1"/>
      <c r="L571" s="1"/>
    </row>
    <row r="572">
      <c r="B572" s="1"/>
      <c r="G572" s="1"/>
      <c r="L572" s="1"/>
    </row>
    <row r="573">
      <c r="B573" s="1"/>
      <c r="G573" s="1"/>
      <c r="L573" s="1"/>
    </row>
    <row r="574">
      <c r="B574" s="1"/>
      <c r="G574" s="1"/>
      <c r="L574" s="1"/>
    </row>
    <row r="575">
      <c r="B575" s="1"/>
      <c r="G575" s="1"/>
      <c r="L575" s="1"/>
    </row>
    <row r="576">
      <c r="B576" s="1"/>
      <c r="G576" s="1"/>
      <c r="L576" s="1"/>
    </row>
    <row r="577">
      <c r="B577" s="1"/>
      <c r="G577" s="1"/>
      <c r="L577" s="1"/>
    </row>
    <row r="578">
      <c r="B578" s="1"/>
      <c r="G578" s="1"/>
      <c r="L578" s="1"/>
    </row>
    <row r="579">
      <c r="B579" s="1"/>
      <c r="G579" s="1"/>
      <c r="L579" s="1"/>
    </row>
    <row r="580">
      <c r="B580" s="1"/>
      <c r="G580" s="1"/>
      <c r="L580" s="1"/>
    </row>
    <row r="581">
      <c r="B581" s="1"/>
      <c r="G581" s="1"/>
      <c r="L581" s="1"/>
    </row>
    <row r="582">
      <c r="B582" s="1"/>
      <c r="G582" s="1"/>
      <c r="L582" s="1"/>
    </row>
    <row r="583">
      <c r="B583" s="1"/>
      <c r="G583" s="1"/>
      <c r="L583" s="1"/>
    </row>
    <row r="584">
      <c r="B584" s="1"/>
      <c r="G584" s="1"/>
      <c r="L584" s="1"/>
    </row>
    <row r="585">
      <c r="B585" s="1"/>
      <c r="G585" s="1"/>
      <c r="L585" s="1"/>
    </row>
    <row r="586">
      <c r="B586" s="1"/>
      <c r="G586" s="1"/>
      <c r="L586" s="1"/>
    </row>
    <row r="587">
      <c r="B587" s="1"/>
      <c r="G587" s="1"/>
      <c r="L587" s="1"/>
    </row>
    <row r="588">
      <c r="B588" s="1"/>
      <c r="G588" s="1"/>
      <c r="L588" s="1"/>
    </row>
    <row r="589">
      <c r="B589" s="1"/>
      <c r="G589" s="1"/>
      <c r="L589" s="1"/>
    </row>
    <row r="590">
      <c r="B590" s="1"/>
      <c r="G590" s="1"/>
      <c r="L590" s="1"/>
    </row>
    <row r="591">
      <c r="B591" s="1"/>
      <c r="G591" s="1"/>
      <c r="L591" s="1"/>
    </row>
    <row r="592">
      <c r="B592" s="1"/>
      <c r="G592" s="1"/>
      <c r="L592" s="1"/>
    </row>
    <row r="593">
      <c r="B593" s="1"/>
      <c r="G593" s="1"/>
      <c r="L593" s="1"/>
    </row>
    <row r="594">
      <c r="B594" s="1"/>
      <c r="G594" s="1"/>
      <c r="L594" s="1"/>
    </row>
    <row r="595">
      <c r="B595" s="1"/>
      <c r="G595" s="1"/>
      <c r="L595" s="1"/>
    </row>
    <row r="596">
      <c r="B596" s="1"/>
      <c r="G596" s="1"/>
      <c r="L596" s="1"/>
    </row>
    <row r="597">
      <c r="B597" s="1"/>
      <c r="G597" s="1"/>
      <c r="L597" s="1"/>
    </row>
    <row r="598">
      <c r="B598" s="1"/>
      <c r="G598" s="1"/>
      <c r="L598" s="1"/>
    </row>
    <row r="599">
      <c r="B599" s="1"/>
      <c r="G599" s="1"/>
      <c r="L599" s="1"/>
    </row>
    <row r="600">
      <c r="B600" s="1"/>
      <c r="G600" s="1"/>
      <c r="L600" s="1"/>
    </row>
    <row r="601">
      <c r="B601" s="1"/>
      <c r="G601" s="1"/>
      <c r="L601" s="1"/>
    </row>
    <row r="602">
      <c r="B602" s="1"/>
      <c r="G602" s="1"/>
      <c r="L602" s="1"/>
    </row>
    <row r="603">
      <c r="B603" s="1"/>
      <c r="G603" s="1"/>
      <c r="L603" s="1"/>
    </row>
    <row r="604">
      <c r="B604" s="1"/>
      <c r="G604" s="1"/>
      <c r="L604" s="1"/>
    </row>
    <row r="605">
      <c r="B605" s="1"/>
      <c r="G605" s="1"/>
      <c r="L605" s="1"/>
    </row>
    <row r="606">
      <c r="B606" s="1"/>
      <c r="G606" s="1"/>
      <c r="L606" s="1"/>
    </row>
    <row r="607">
      <c r="B607" s="1"/>
      <c r="G607" s="1"/>
      <c r="L607" s="1"/>
    </row>
    <row r="608">
      <c r="B608" s="1"/>
      <c r="G608" s="1"/>
      <c r="L608" s="1"/>
    </row>
    <row r="609">
      <c r="B609" s="1"/>
      <c r="G609" s="1"/>
      <c r="L609" s="1"/>
    </row>
    <row r="610">
      <c r="B610" s="1"/>
      <c r="G610" s="1"/>
      <c r="L610" s="1"/>
    </row>
    <row r="611">
      <c r="B611" s="1"/>
      <c r="G611" s="1"/>
      <c r="L611" s="1"/>
    </row>
    <row r="612">
      <c r="B612" s="1"/>
      <c r="G612" s="1"/>
      <c r="L612" s="1"/>
    </row>
    <row r="613">
      <c r="B613" s="1"/>
      <c r="G613" s="1"/>
      <c r="L613" s="1"/>
    </row>
    <row r="614">
      <c r="B614" s="1"/>
      <c r="G614" s="1"/>
      <c r="L614" s="1"/>
    </row>
    <row r="615">
      <c r="B615" s="1"/>
      <c r="G615" s="1"/>
      <c r="L615" s="1"/>
    </row>
    <row r="616">
      <c r="B616" s="1"/>
      <c r="G616" s="1"/>
      <c r="L616" s="1"/>
    </row>
    <row r="617">
      <c r="B617" s="1"/>
      <c r="G617" s="1"/>
      <c r="L617" s="1"/>
    </row>
    <row r="618">
      <c r="B618" s="1"/>
      <c r="G618" s="1"/>
      <c r="L618" s="1"/>
    </row>
    <row r="619">
      <c r="B619" s="1"/>
      <c r="G619" s="1"/>
      <c r="L619" s="1"/>
    </row>
    <row r="620">
      <c r="B620" s="1"/>
      <c r="G620" s="1"/>
      <c r="L620" s="1"/>
    </row>
    <row r="621">
      <c r="B621" s="1"/>
      <c r="G621" s="1"/>
      <c r="L621" s="1"/>
    </row>
    <row r="622">
      <c r="B622" s="1"/>
      <c r="G622" s="1"/>
      <c r="L622" s="1"/>
    </row>
    <row r="623">
      <c r="B623" s="1"/>
      <c r="G623" s="1"/>
      <c r="L623" s="1"/>
    </row>
    <row r="624">
      <c r="B624" s="1"/>
      <c r="G624" s="1"/>
      <c r="L624" s="1"/>
    </row>
    <row r="625">
      <c r="B625" s="1"/>
      <c r="G625" s="1"/>
      <c r="L625" s="1"/>
    </row>
    <row r="626">
      <c r="B626" s="1"/>
      <c r="G626" s="1"/>
      <c r="L626" s="1"/>
    </row>
    <row r="627">
      <c r="B627" s="1"/>
      <c r="G627" s="1"/>
      <c r="L627" s="1"/>
    </row>
    <row r="628">
      <c r="B628" s="1"/>
      <c r="G628" s="1"/>
      <c r="L628" s="1"/>
    </row>
    <row r="629">
      <c r="B629" s="1"/>
      <c r="G629" s="1"/>
      <c r="L629" s="1"/>
    </row>
    <row r="630">
      <c r="B630" s="1"/>
      <c r="G630" s="1"/>
      <c r="L630" s="1"/>
    </row>
    <row r="631">
      <c r="B631" s="1"/>
      <c r="G631" s="1"/>
      <c r="L631" s="1"/>
    </row>
    <row r="632">
      <c r="B632" s="1"/>
      <c r="G632" s="1"/>
      <c r="L632" s="1"/>
    </row>
    <row r="633">
      <c r="B633" s="1"/>
      <c r="G633" s="1"/>
      <c r="L633" s="1"/>
    </row>
    <row r="634">
      <c r="B634" s="1"/>
      <c r="G634" s="1"/>
      <c r="L634" s="1"/>
    </row>
    <row r="635">
      <c r="B635" s="1"/>
      <c r="G635" s="1"/>
      <c r="L635" s="1"/>
    </row>
    <row r="636">
      <c r="B636" s="1"/>
      <c r="G636" s="1"/>
      <c r="L636" s="1"/>
    </row>
    <row r="637">
      <c r="B637" s="1"/>
      <c r="G637" s="1"/>
      <c r="L637" s="1"/>
    </row>
    <row r="638">
      <c r="B638" s="1"/>
      <c r="G638" s="1"/>
      <c r="L638" s="1"/>
    </row>
    <row r="639">
      <c r="B639" s="1"/>
      <c r="G639" s="1"/>
      <c r="L639" s="1"/>
    </row>
    <row r="640">
      <c r="B640" s="1"/>
      <c r="G640" s="1"/>
      <c r="L640" s="1"/>
    </row>
    <row r="641">
      <c r="B641" s="1"/>
      <c r="G641" s="1"/>
      <c r="L641" s="1"/>
    </row>
    <row r="642">
      <c r="B642" s="1"/>
      <c r="G642" s="1"/>
      <c r="L642" s="1"/>
    </row>
    <row r="643">
      <c r="B643" s="1"/>
      <c r="G643" s="1"/>
      <c r="L643" s="1"/>
    </row>
    <row r="644">
      <c r="B644" s="1"/>
      <c r="G644" s="1"/>
      <c r="L644" s="1"/>
    </row>
    <row r="645">
      <c r="B645" s="1"/>
      <c r="G645" s="1"/>
      <c r="L645" s="1"/>
    </row>
    <row r="646">
      <c r="B646" s="1"/>
      <c r="G646" s="1"/>
      <c r="L646" s="1"/>
    </row>
    <row r="647">
      <c r="B647" s="1"/>
      <c r="G647" s="1"/>
      <c r="L647" s="1"/>
    </row>
    <row r="648">
      <c r="B648" s="1"/>
      <c r="G648" s="1"/>
      <c r="L648" s="1"/>
    </row>
    <row r="649">
      <c r="B649" s="1"/>
      <c r="G649" s="1"/>
      <c r="L649" s="1"/>
    </row>
    <row r="650">
      <c r="B650" s="1"/>
      <c r="G650" s="1"/>
      <c r="L650" s="1"/>
    </row>
    <row r="651">
      <c r="B651" s="1"/>
      <c r="G651" s="1"/>
      <c r="L651" s="1"/>
    </row>
    <row r="652">
      <c r="B652" s="1"/>
      <c r="G652" s="1"/>
      <c r="L652" s="1"/>
    </row>
    <row r="653">
      <c r="B653" s="1"/>
      <c r="G653" s="1"/>
      <c r="L653" s="1"/>
    </row>
    <row r="654">
      <c r="B654" s="1"/>
      <c r="G654" s="1"/>
      <c r="L654" s="1"/>
    </row>
    <row r="655">
      <c r="B655" s="1"/>
      <c r="G655" s="1"/>
      <c r="L655" s="1"/>
    </row>
    <row r="656">
      <c r="B656" s="1"/>
      <c r="G656" s="1"/>
      <c r="L656" s="1"/>
    </row>
    <row r="657">
      <c r="B657" s="1"/>
      <c r="G657" s="1"/>
      <c r="L657" s="1"/>
    </row>
    <row r="658">
      <c r="B658" s="1"/>
      <c r="G658" s="1"/>
      <c r="L658" s="1"/>
    </row>
    <row r="659">
      <c r="B659" s="1"/>
      <c r="G659" s="1"/>
      <c r="L659" s="1"/>
    </row>
    <row r="660">
      <c r="B660" s="1"/>
      <c r="G660" s="1"/>
      <c r="L660" s="1"/>
    </row>
    <row r="661">
      <c r="B661" s="1"/>
      <c r="G661" s="1"/>
      <c r="L661" s="1"/>
    </row>
    <row r="662">
      <c r="B662" s="1"/>
      <c r="G662" s="1"/>
      <c r="L662" s="1"/>
    </row>
    <row r="663">
      <c r="B663" s="1"/>
      <c r="G663" s="1"/>
      <c r="L663" s="1"/>
    </row>
    <row r="664">
      <c r="B664" s="1"/>
      <c r="G664" s="1"/>
      <c r="L664" s="1"/>
    </row>
    <row r="665">
      <c r="B665" s="1"/>
      <c r="G665" s="1"/>
      <c r="L665" s="1"/>
    </row>
    <row r="666">
      <c r="B666" s="1"/>
      <c r="G666" s="1"/>
      <c r="L666" s="1"/>
    </row>
    <row r="667">
      <c r="B667" s="1"/>
      <c r="G667" s="1"/>
      <c r="L667" s="1"/>
    </row>
    <row r="668">
      <c r="B668" s="1"/>
      <c r="G668" s="1"/>
      <c r="L668" s="1"/>
    </row>
    <row r="669">
      <c r="B669" s="1"/>
      <c r="G669" s="1"/>
      <c r="L669" s="1"/>
    </row>
    <row r="670">
      <c r="B670" s="1"/>
      <c r="G670" s="1"/>
      <c r="L670" s="1"/>
    </row>
    <row r="671">
      <c r="B671" s="1"/>
      <c r="G671" s="1"/>
      <c r="L671" s="1"/>
    </row>
    <row r="672">
      <c r="B672" s="1"/>
      <c r="G672" s="1"/>
      <c r="L672" s="1"/>
    </row>
    <row r="673">
      <c r="B673" s="1"/>
      <c r="G673" s="1"/>
      <c r="L673" s="1"/>
    </row>
    <row r="674">
      <c r="B674" s="1"/>
      <c r="G674" s="1"/>
      <c r="L674" s="1"/>
    </row>
    <row r="675">
      <c r="B675" s="1"/>
      <c r="G675" s="1"/>
      <c r="L675" s="1"/>
    </row>
    <row r="676">
      <c r="B676" s="1"/>
      <c r="G676" s="1"/>
      <c r="L676" s="1"/>
    </row>
    <row r="677">
      <c r="B677" s="1"/>
      <c r="G677" s="1"/>
      <c r="L677" s="1"/>
    </row>
    <row r="678">
      <c r="B678" s="1"/>
      <c r="G678" s="1"/>
      <c r="L678" s="1"/>
    </row>
    <row r="679">
      <c r="B679" s="1"/>
      <c r="G679" s="1"/>
      <c r="L679" s="1"/>
    </row>
    <row r="680">
      <c r="B680" s="1"/>
      <c r="G680" s="1"/>
      <c r="L680" s="1"/>
    </row>
    <row r="681">
      <c r="B681" s="1"/>
      <c r="G681" s="1"/>
      <c r="L681" s="1"/>
    </row>
    <row r="682">
      <c r="B682" s="1"/>
      <c r="G682" s="1"/>
      <c r="L682" s="1"/>
    </row>
    <row r="683">
      <c r="B683" s="1"/>
      <c r="G683" s="1"/>
      <c r="L683" s="1"/>
    </row>
    <row r="684">
      <c r="B684" s="1"/>
      <c r="G684" s="1"/>
      <c r="L684" s="1"/>
    </row>
    <row r="685">
      <c r="B685" s="1"/>
      <c r="G685" s="1"/>
      <c r="L685" s="1"/>
    </row>
    <row r="686">
      <c r="B686" s="1"/>
      <c r="G686" s="1"/>
      <c r="L686" s="1"/>
    </row>
    <row r="687">
      <c r="B687" s="1"/>
      <c r="G687" s="1"/>
      <c r="L687" s="1"/>
    </row>
    <row r="688">
      <c r="B688" s="1"/>
      <c r="G688" s="1"/>
      <c r="L688" s="1"/>
    </row>
    <row r="689">
      <c r="B689" s="1"/>
      <c r="G689" s="1"/>
      <c r="L689" s="1"/>
    </row>
    <row r="690">
      <c r="B690" s="1"/>
      <c r="G690" s="1"/>
      <c r="L690" s="1"/>
    </row>
    <row r="691">
      <c r="B691" s="1"/>
      <c r="G691" s="1"/>
      <c r="L691" s="1"/>
    </row>
    <row r="692">
      <c r="B692" s="1"/>
      <c r="G692" s="1"/>
      <c r="L692" s="1"/>
    </row>
    <row r="693">
      <c r="B693" s="1"/>
      <c r="G693" s="1"/>
      <c r="L693" s="1"/>
    </row>
    <row r="694">
      <c r="B694" s="1"/>
      <c r="G694" s="1"/>
      <c r="L694" s="1"/>
    </row>
    <row r="695">
      <c r="B695" s="1"/>
      <c r="G695" s="1"/>
      <c r="L695" s="1"/>
    </row>
    <row r="696">
      <c r="B696" s="1"/>
      <c r="G696" s="1"/>
      <c r="L696" s="1"/>
    </row>
    <row r="697">
      <c r="B697" s="1"/>
      <c r="G697" s="1"/>
      <c r="L697" s="1"/>
    </row>
    <row r="698">
      <c r="B698" s="1"/>
      <c r="G698" s="1"/>
      <c r="L698" s="1"/>
    </row>
    <row r="699">
      <c r="B699" s="1"/>
      <c r="G699" s="1"/>
      <c r="L699" s="1"/>
    </row>
    <row r="700">
      <c r="B700" s="1"/>
      <c r="G700" s="1"/>
      <c r="L700" s="1"/>
    </row>
    <row r="701">
      <c r="B701" s="1"/>
      <c r="G701" s="1"/>
      <c r="L701" s="1"/>
    </row>
    <row r="702">
      <c r="B702" s="1"/>
      <c r="G702" s="1"/>
      <c r="L702" s="1"/>
    </row>
    <row r="703">
      <c r="B703" s="1"/>
      <c r="G703" s="1"/>
      <c r="L703" s="1"/>
    </row>
    <row r="704">
      <c r="B704" s="1"/>
      <c r="G704" s="1"/>
      <c r="L704" s="1"/>
    </row>
    <row r="705">
      <c r="B705" s="1"/>
      <c r="G705" s="1"/>
      <c r="L705" s="1"/>
    </row>
    <row r="706">
      <c r="B706" s="1"/>
      <c r="G706" s="1"/>
      <c r="L706" s="1"/>
    </row>
    <row r="707">
      <c r="B707" s="1"/>
      <c r="G707" s="1"/>
      <c r="L707" s="1"/>
    </row>
    <row r="708">
      <c r="B708" s="1"/>
      <c r="G708" s="1"/>
      <c r="L708" s="1"/>
    </row>
    <row r="709">
      <c r="B709" s="1"/>
      <c r="G709" s="1"/>
      <c r="L709" s="1"/>
    </row>
    <row r="710">
      <c r="B710" s="1"/>
      <c r="G710" s="1"/>
      <c r="L710" s="1"/>
    </row>
    <row r="711">
      <c r="B711" s="1"/>
      <c r="G711" s="1"/>
      <c r="L711" s="1"/>
    </row>
    <row r="712">
      <c r="B712" s="1"/>
      <c r="G712" s="1"/>
      <c r="L712" s="1"/>
    </row>
    <row r="713">
      <c r="B713" s="1"/>
      <c r="G713" s="1"/>
      <c r="L713" s="1"/>
    </row>
    <row r="714">
      <c r="B714" s="1"/>
      <c r="G714" s="1"/>
      <c r="L714" s="1"/>
    </row>
    <row r="715">
      <c r="B715" s="1"/>
      <c r="G715" s="1"/>
      <c r="L715" s="1"/>
    </row>
    <row r="716">
      <c r="B716" s="1"/>
      <c r="G716" s="1"/>
      <c r="L716" s="1"/>
    </row>
    <row r="717">
      <c r="B717" s="1"/>
      <c r="G717" s="1"/>
      <c r="L717" s="1"/>
    </row>
    <row r="718">
      <c r="B718" s="1"/>
      <c r="G718" s="1"/>
      <c r="L718" s="1"/>
    </row>
    <row r="719">
      <c r="B719" s="1"/>
      <c r="G719" s="1"/>
      <c r="L719" s="1"/>
    </row>
    <row r="720">
      <c r="B720" s="1"/>
      <c r="G720" s="1"/>
      <c r="L720" s="1"/>
    </row>
    <row r="721">
      <c r="B721" s="1"/>
      <c r="G721" s="1"/>
      <c r="L721" s="1"/>
    </row>
    <row r="722">
      <c r="B722" s="1"/>
      <c r="G722" s="1"/>
      <c r="L722" s="1"/>
    </row>
    <row r="723">
      <c r="B723" s="1"/>
      <c r="G723" s="1"/>
      <c r="L723" s="1"/>
    </row>
    <row r="724">
      <c r="B724" s="1"/>
      <c r="G724" s="1"/>
      <c r="L724" s="1"/>
    </row>
    <row r="725">
      <c r="B725" s="1"/>
      <c r="G725" s="1"/>
      <c r="L725" s="1"/>
    </row>
    <row r="726">
      <c r="B726" s="1"/>
      <c r="G726" s="1"/>
      <c r="L726" s="1"/>
    </row>
    <row r="727">
      <c r="B727" s="1"/>
      <c r="G727" s="1"/>
      <c r="L727" s="1"/>
    </row>
    <row r="728">
      <c r="B728" s="1"/>
      <c r="G728" s="1"/>
      <c r="L728" s="1"/>
    </row>
    <row r="729">
      <c r="B729" s="1"/>
      <c r="G729" s="1"/>
      <c r="L729" s="1"/>
    </row>
    <row r="730">
      <c r="B730" s="1"/>
      <c r="G730" s="1"/>
      <c r="L730" s="1"/>
    </row>
    <row r="731">
      <c r="B731" s="1"/>
      <c r="G731" s="1"/>
      <c r="L731" s="1"/>
    </row>
    <row r="732">
      <c r="B732" s="1"/>
      <c r="G732" s="1"/>
      <c r="L732" s="1"/>
    </row>
    <row r="733">
      <c r="B733" s="1"/>
      <c r="G733" s="1"/>
      <c r="L733" s="1"/>
    </row>
    <row r="734">
      <c r="B734" s="1"/>
      <c r="G734" s="1"/>
      <c r="L734" s="1"/>
    </row>
    <row r="735">
      <c r="B735" s="1"/>
      <c r="G735" s="1"/>
      <c r="L735" s="1"/>
    </row>
    <row r="736">
      <c r="B736" s="1"/>
      <c r="G736" s="1"/>
      <c r="L736" s="1"/>
    </row>
    <row r="737">
      <c r="B737" s="1"/>
      <c r="G737" s="1"/>
      <c r="L737" s="1"/>
    </row>
    <row r="738">
      <c r="B738" s="1"/>
      <c r="G738" s="1"/>
      <c r="L738" s="1"/>
    </row>
    <row r="739">
      <c r="B739" s="1"/>
      <c r="G739" s="1"/>
      <c r="L739" s="1"/>
    </row>
    <row r="740">
      <c r="B740" s="1"/>
      <c r="G740" s="1"/>
      <c r="L740" s="1"/>
    </row>
    <row r="741">
      <c r="B741" s="1"/>
      <c r="G741" s="1"/>
      <c r="L741" s="1"/>
    </row>
    <row r="742">
      <c r="B742" s="1"/>
      <c r="G742" s="1"/>
      <c r="L742" s="1"/>
    </row>
    <row r="743">
      <c r="B743" s="1"/>
      <c r="G743" s="1"/>
      <c r="L743" s="1"/>
    </row>
    <row r="744">
      <c r="B744" s="1"/>
      <c r="G744" s="1"/>
      <c r="L744" s="1"/>
    </row>
    <row r="745">
      <c r="B745" s="1"/>
      <c r="G745" s="1"/>
      <c r="L745" s="1"/>
    </row>
    <row r="746">
      <c r="B746" s="1"/>
      <c r="G746" s="1"/>
      <c r="L746" s="1"/>
    </row>
    <row r="747">
      <c r="B747" s="1"/>
      <c r="G747" s="1"/>
      <c r="L747" s="1"/>
    </row>
    <row r="748">
      <c r="B748" s="1"/>
      <c r="G748" s="1"/>
      <c r="L748" s="1"/>
    </row>
    <row r="749">
      <c r="B749" s="1"/>
      <c r="G749" s="1"/>
      <c r="L749" s="1"/>
    </row>
    <row r="750">
      <c r="B750" s="1"/>
      <c r="G750" s="1"/>
      <c r="L750" s="1"/>
    </row>
    <row r="751">
      <c r="B751" s="1"/>
      <c r="G751" s="1"/>
      <c r="L751" s="1"/>
    </row>
    <row r="752">
      <c r="B752" s="1"/>
      <c r="G752" s="1"/>
      <c r="L752" s="1"/>
    </row>
    <row r="753">
      <c r="B753" s="1"/>
      <c r="G753" s="1"/>
      <c r="L753" s="1"/>
    </row>
    <row r="754">
      <c r="B754" s="1"/>
      <c r="G754" s="1"/>
      <c r="L754" s="1"/>
    </row>
    <row r="755">
      <c r="B755" s="1"/>
      <c r="G755" s="1"/>
      <c r="L755" s="1"/>
    </row>
    <row r="756">
      <c r="B756" s="1"/>
      <c r="G756" s="1"/>
      <c r="L756" s="1"/>
    </row>
    <row r="757">
      <c r="B757" s="1"/>
      <c r="G757" s="1"/>
      <c r="L757" s="1"/>
    </row>
    <row r="758">
      <c r="B758" s="1"/>
      <c r="G758" s="1"/>
      <c r="L758" s="1"/>
    </row>
    <row r="759">
      <c r="B759" s="1"/>
      <c r="G759" s="1"/>
      <c r="L759" s="1"/>
    </row>
    <row r="760">
      <c r="B760" s="1"/>
      <c r="G760" s="1"/>
      <c r="L760" s="1"/>
    </row>
    <row r="761">
      <c r="B761" s="1"/>
      <c r="G761" s="1"/>
      <c r="L761" s="1"/>
    </row>
    <row r="762">
      <c r="B762" s="1"/>
      <c r="G762" s="1"/>
      <c r="L762" s="1"/>
    </row>
    <row r="763">
      <c r="B763" s="1"/>
      <c r="G763" s="1"/>
      <c r="L763" s="1"/>
    </row>
    <row r="764">
      <c r="B764" s="1"/>
      <c r="G764" s="1"/>
      <c r="L764" s="1"/>
    </row>
    <row r="765">
      <c r="B765" s="1"/>
      <c r="G765" s="1"/>
      <c r="L765" s="1"/>
    </row>
    <row r="766">
      <c r="B766" s="1"/>
      <c r="G766" s="1"/>
      <c r="L766" s="1"/>
    </row>
    <row r="767">
      <c r="B767" s="1"/>
      <c r="G767" s="1"/>
      <c r="L767" s="1"/>
    </row>
    <row r="768">
      <c r="B768" s="1"/>
      <c r="G768" s="1"/>
      <c r="L768" s="1"/>
    </row>
    <row r="769">
      <c r="B769" s="1"/>
      <c r="G769" s="1"/>
      <c r="L769" s="1"/>
    </row>
    <row r="770">
      <c r="B770" s="1"/>
      <c r="G770" s="1"/>
      <c r="L770" s="1"/>
    </row>
    <row r="771">
      <c r="B771" s="1"/>
      <c r="G771" s="1"/>
      <c r="L771" s="1"/>
    </row>
    <row r="772">
      <c r="B772" s="1"/>
      <c r="G772" s="1"/>
      <c r="L772" s="1"/>
    </row>
    <row r="773">
      <c r="B773" s="1"/>
      <c r="G773" s="1"/>
      <c r="L773" s="1"/>
    </row>
    <row r="774">
      <c r="B774" s="1"/>
      <c r="G774" s="1"/>
      <c r="L774" s="1"/>
    </row>
    <row r="775">
      <c r="B775" s="1"/>
      <c r="G775" s="1"/>
      <c r="L775" s="1"/>
    </row>
    <row r="776">
      <c r="B776" s="1"/>
      <c r="G776" s="1"/>
      <c r="L776" s="1"/>
    </row>
    <row r="777">
      <c r="B777" s="1"/>
      <c r="G777" s="1"/>
      <c r="L777" s="1"/>
    </row>
    <row r="778">
      <c r="B778" s="1"/>
      <c r="G778" s="1"/>
      <c r="L778" s="1"/>
    </row>
    <row r="779">
      <c r="B779" s="1"/>
      <c r="G779" s="1"/>
      <c r="L779" s="1"/>
    </row>
    <row r="780">
      <c r="B780" s="1"/>
      <c r="G780" s="1"/>
      <c r="L780" s="1"/>
    </row>
    <row r="781">
      <c r="B781" s="1"/>
      <c r="G781" s="1"/>
      <c r="L781" s="1"/>
    </row>
    <row r="782">
      <c r="B782" s="1"/>
      <c r="G782" s="1"/>
      <c r="L782" s="1"/>
    </row>
    <row r="783">
      <c r="B783" s="1"/>
      <c r="G783" s="1"/>
      <c r="L783" s="1"/>
    </row>
    <row r="784">
      <c r="B784" s="1"/>
      <c r="G784" s="1"/>
      <c r="L784" s="1"/>
    </row>
    <row r="785">
      <c r="B785" s="1"/>
      <c r="G785" s="1"/>
      <c r="L785" s="1"/>
    </row>
    <row r="786">
      <c r="B786" s="1"/>
      <c r="G786" s="1"/>
      <c r="L786" s="1"/>
    </row>
    <row r="787">
      <c r="B787" s="1"/>
      <c r="G787" s="1"/>
      <c r="L787" s="1"/>
    </row>
    <row r="788">
      <c r="B788" s="1"/>
      <c r="G788" s="1"/>
      <c r="L788" s="1"/>
    </row>
    <row r="789">
      <c r="B789" s="1"/>
      <c r="G789" s="1"/>
      <c r="L789" s="1"/>
    </row>
    <row r="790">
      <c r="B790" s="1"/>
      <c r="G790" s="1"/>
      <c r="L790" s="1"/>
    </row>
    <row r="791">
      <c r="B791" s="1"/>
      <c r="G791" s="1"/>
      <c r="L791" s="1"/>
    </row>
    <row r="792">
      <c r="B792" s="1"/>
      <c r="G792" s="1"/>
      <c r="L792" s="1"/>
    </row>
    <row r="793">
      <c r="B793" s="1"/>
      <c r="G793" s="1"/>
      <c r="L793" s="1"/>
    </row>
    <row r="794">
      <c r="B794" s="1"/>
      <c r="G794" s="1"/>
      <c r="L794" s="1"/>
    </row>
    <row r="795">
      <c r="B795" s="1"/>
      <c r="G795" s="1"/>
      <c r="L795" s="1"/>
    </row>
    <row r="796">
      <c r="B796" s="1"/>
      <c r="G796" s="1"/>
      <c r="L796" s="1"/>
    </row>
    <row r="797">
      <c r="B797" s="1"/>
      <c r="G797" s="1"/>
      <c r="L797" s="1"/>
    </row>
    <row r="798">
      <c r="B798" s="1"/>
      <c r="G798" s="1"/>
      <c r="L798" s="1"/>
    </row>
    <row r="799">
      <c r="B799" s="1"/>
      <c r="G799" s="1"/>
      <c r="L799" s="1"/>
    </row>
    <row r="800">
      <c r="B800" s="1"/>
      <c r="G800" s="1"/>
      <c r="L800" s="1"/>
    </row>
    <row r="801">
      <c r="B801" s="1"/>
      <c r="G801" s="1"/>
      <c r="L801" s="1"/>
    </row>
    <row r="802">
      <c r="B802" s="1"/>
      <c r="G802" s="1"/>
      <c r="L802" s="1"/>
    </row>
    <row r="803">
      <c r="B803" s="1"/>
      <c r="G803" s="1"/>
      <c r="L803" s="1"/>
    </row>
    <row r="804">
      <c r="B804" s="1"/>
      <c r="G804" s="1"/>
      <c r="L804" s="1"/>
    </row>
    <row r="805">
      <c r="B805" s="1"/>
      <c r="G805" s="1"/>
      <c r="L805" s="1"/>
    </row>
    <row r="806">
      <c r="B806" s="1"/>
      <c r="G806" s="1"/>
      <c r="L806" s="1"/>
    </row>
    <row r="807">
      <c r="B807" s="1"/>
      <c r="G807" s="1"/>
      <c r="L807" s="1"/>
    </row>
    <row r="808">
      <c r="B808" s="1"/>
      <c r="G808" s="1"/>
      <c r="L808" s="1"/>
    </row>
    <row r="809">
      <c r="B809" s="1"/>
      <c r="G809" s="1"/>
      <c r="L809" s="1"/>
    </row>
    <row r="810">
      <c r="B810" s="1"/>
      <c r="G810" s="1"/>
      <c r="L810" s="1"/>
    </row>
    <row r="811">
      <c r="B811" s="1"/>
      <c r="G811" s="1"/>
      <c r="L811" s="1"/>
    </row>
    <row r="812">
      <c r="B812" s="1"/>
      <c r="G812" s="1"/>
      <c r="L812" s="1"/>
    </row>
    <row r="813">
      <c r="B813" s="1"/>
      <c r="G813" s="1"/>
      <c r="L813" s="1"/>
    </row>
    <row r="814">
      <c r="B814" s="1"/>
      <c r="G814" s="1"/>
      <c r="L814" s="1"/>
    </row>
    <row r="815">
      <c r="B815" s="1"/>
      <c r="G815" s="1"/>
      <c r="L815" s="1"/>
    </row>
    <row r="816">
      <c r="B816" s="1"/>
      <c r="G816" s="1"/>
      <c r="L816" s="1"/>
    </row>
    <row r="817">
      <c r="B817" s="1"/>
      <c r="G817" s="1"/>
      <c r="L817" s="1"/>
    </row>
    <row r="818">
      <c r="B818" s="1"/>
      <c r="G818" s="1"/>
      <c r="L818" s="1"/>
    </row>
    <row r="819">
      <c r="B819" s="1"/>
      <c r="G819" s="1"/>
      <c r="L819" s="1"/>
    </row>
    <row r="820">
      <c r="B820" s="1"/>
      <c r="G820" s="1"/>
      <c r="L820" s="1"/>
    </row>
    <row r="821">
      <c r="B821" s="1"/>
      <c r="G821" s="1"/>
      <c r="L821" s="1"/>
    </row>
    <row r="822">
      <c r="B822" s="1"/>
      <c r="G822" s="1"/>
      <c r="L822" s="1"/>
    </row>
    <row r="823">
      <c r="B823" s="1"/>
      <c r="G823" s="1"/>
      <c r="L823" s="1"/>
    </row>
    <row r="824">
      <c r="B824" s="1"/>
      <c r="G824" s="1"/>
      <c r="L824" s="1"/>
    </row>
    <row r="825">
      <c r="B825" s="1"/>
      <c r="G825" s="1"/>
      <c r="L825" s="1"/>
    </row>
    <row r="826">
      <c r="B826" s="1"/>
      <c r="G826" s="1"/>
      <c r="L826" s="1"/>
    </row>
    <row r="827">
      <c r="B827" s="1"/>
      <c r="G827" s="1"/>
      <c r="L827" s="1"/>
    </row>
    <row r="828">
      <c r="B828" s="1"/>
      <c r="G828" s="1"/>
      <c r="L828" s="1"/>
    </row>
    <row r="829">
      <c r="B829" s="1"/>
      <c r="G829" s="1"/>
      <c r="L829" s="1"/>
    </row>
    <row r="830">
      <c r="B830" s="1"/>
      <c r="G830" s="1"/>
      <c r="L830" s="1"/>
    </row>
    <row r="831">
      <c r="B831" s="1"/>
      <c r="G831" s="1"/>
      <c r="L831" s="1"/>
    </row>
    <row r="832">
      <c r="B832" s="1"/>
      <c r="G832" s="1"/>
      <c r="L832" s="1"/>
    </row>
    <row r="833">
      <c r="B833" s="1"/>
      <c r="G833" s="1"/>
      <c r="L833" s="1"/>
    </row>
    <row r="834">
      <c r="B834" s="1"/>
      <c r="G834" s="1"/>
      <c r="L834" s="1"/>
    </row>
    <row r="835">
      <c r="B835" s="1"/>
      <c r="G835" s="1"/>
      <c r="L835" s="1"/>
    </row>
    <row r="836">
      <c r="B836" s="1"/>
      <c r="G836" s="1"/>
      <c r="L836" s="1"/>
    </row>
    <row r="837">
      <c r="B837" s="1"/>
      <c r="G837" s="1"/>
      <c r="L837" s="1"/>
    </row>
    <row r="838">
      <c r="B838" s="1"/>
      <c r="G838" s="1"/>
      <c r="L838" s="1"/>
    </row>
    <row r="839">
      <c r="B839" s="1"/>
      <c r="G839" s="1"/>
      <c r="L839" s="1"/>
    </row>
    <row r="840">
      <c r="B840" s="1"/>
      <c r="G840" s="1"/>
      <c r="L840" s="1"/>
    </row>
    <row r="841">
      <c r="B841" s="1"/>
      <c r="G841" s="1"/>
      <c r="L841" s="1"/>
    </row>
    <row r="842">
      <c r="B842" s="1"/>
      <c r="G842" s="1"/>
      <c r="L842" s="1"/>
    </row>
    <row r="843">
      <c r="B843" s="1"/>
      <c r="G843" s="1"/>
      <c r="L843" s="1"/>
    </row>
    <row r="844">
      <c r="B844" s="1"/>
      <c r="G844" s="1"/>
      <c r="L844" s="1"/>
    </row>
    <row r="845">
      <c r="B845" s="1"/>
      <c r="G845" s="1"/>
      <c r="L845" s="1"/>
    </row>
    <row r="846">
      <c r="B846" s="1"/>
      <c r="G846" s="1"/>
      <c r="L846" s="1"/>
    </row>
    <row r="847">
      <c r="B847" s="1"/>
      <c r="G847" s="1"/>
      <c r="L847" s="1"/>
    </row>
    <row r="848">
      <c r="B848" s="1"/>
      <c r="G848" s="1"/>
      <c r="L848" s="1"/>
    </row>
    <row r="849">
      <c r="B849" s="1"/>
      <c r="G849" s="1"/>
      <c r="L849" s="1"/>
    </row>
    <row r="850">
      <c r="B850" s="1"/>
      <c r="G850" s="1"/>
      <c r="L850" s="1"/>
    </row>
    <row r="851">
      <c r="B851" s="1"/>
      <c r="G851" s="1"/>
      <c r="L851" s="1"/>
    </row>
    <row r="852">
      <c r="B852" s="1"/>
      <c r="G852" s="1"/>
      <c r="L852" s="1"/>
    </row>
    <row r="853">
      <c r="B853" s="1"/>
      <c r="G853" s="1"/>
      <c r="L853" s="1"/>
    </row>
    <row r="854">
      <c r="B854" s="1"/>
      <c r="G854" s="1"/>
      <c r="L854" s="1"/>
    </row>
    <row r="855">
      <c r="B855" s="1"/>
      <c r="G855" s="1"/>
      <c r="L855" s="1"/>
    </row>
    <row r="856">
      <c r="B856" s="1"/>
      <c r="G856" s="1"/>
      <c r="L856" s="1"/>
    </row>
    <row r="857">
      <c r="B857" s="1"/>
      <c r="G857" s="1"/>
      <c r="L857" s="1"/>
    </row>
    <row r="858">
      <c r="B858" s="1"/>
      <c r="G858" s="1"/>
      <c r="L858" s="1"/>
    </row>
    <row r="859">
      <c r="B859" s="1"/>
      <c r="G859" s="1"/>
      <c r="L859" s="1"/>
    </row>
    <row r="860">
      <c r="B860" s="1"/>
      <c r="G860" s="1"/>
      <c r="L860" s="1"/>
    </row>
    <row r="861">
      <c r="B861" s="1"/>
      <c r="G861" s="1"/>
      <c r="L861" s="1"/>
    </row>
    <row r="862">
      <c r="B862" s="1"/>
      <c r="G862" s="1"/>
      <c r="L862" s="1"/>
    </row>
    <row r="863">
      <c r="B863" s="1"/>
      <c r="G863" s="1"/>
      <c r="L863" s="1"/>
    </row>
    <row r="864">
      <c r="B864" s="1"/>
      <c r="G864" s="1"/>
      <c r="L864" s="1"/>
    </row>
    <row r="865">
      <c r="B865" s="1"/>
      <c r="G865" s="1"/>
      <c r="L865" s="1"/>
    </row>
    <row r="866">
      <c r="B866" s="1"/>
      <c r="G866" s="1"/>
      <c r="L866" s="1"/>
    </row>
    <row r="867">
      <c r="B867" s="1"/>
      <c r="G867" s="1"/>
      <c r="L867" s="1"/>
    </row>
    <row r="868">
      <c r="B868" s="1"/>
      <c r="G868" s="1"/>
      <c r="L868" s="1"/>
    </row>
    <row r="869">
      <c r="B869" s="1"/>
      <c r="G869" s="1"/>
      <c r="L869" s="1"/>
    </row>
    <row r="870">
      <c r="B870" s="1"/>
      <c r="G870" s="1"/>
      <c r="L870" s="1"/>
    </row>
    <row r="871">
      <c r="B871" s="1"/>
      <c r="G871" s="1"/>
      <c r="L871" s="1"/>
    </row>
    <row r="872">
      <c r="B872" s="1"/>
      <c r="G872" s="1"/>
      <c r="L872" s="1"/>
    </row>
    <row r="873">
      <c r="B873" s="1"/>
      <c r="G873" s="1"/>
      <c r="L873" s="1"/>
    </row>
    <row r="874">
      <c r="B874" s="1"/>
      <c r="G874" s="1"/>
      <c r="L874" s="1"/>
    </row>
    <row r="875">
      <c r="B875" s="1"/>
      <c r="G875" s="1"/>
      <c r="L875" s="1"/>
    </row>
    <row r="876">
      <c r="B876" s="1"/>
      <c r="G876" s="1"/>
      <c r="L876" s="1"/>
    </row>
    <row r="877">
      <c r="B877" s="1"/>
      <c r="G877" s="1"/>
      <c r="L877" s="1"/>
    </row>
    <row r="878">
      <c r="B878" s="1"/>
      <c r="G878" s="1"/>
      <c r="L878" s="1"/>
    </row>
    <row r="879">
      <c r="B879" s="1"/>
      <c r="G879" s="1"/>
      <c r="L879" s="1"/>
    </row>
    <row r="880">
      <c r="B880" s="1"/>
      <c r="G880" s="1"/>
      <c r="L880" s="1"/>
    </row>
    <row r="881">
      <c r="B881" s="1"/>
      <c r="G881" s="1"/>
      <c r="L881" s="1"/>
    </row>
    <row r="882">
      <c r="B882" s="1"/>
      <c r="G882" s="1"/>
      <c r="L882" s="1"/>
    </row>
    <row r="883">
      <c r="B883" s="1"/>
      <c r="G883" s="1"/>
      <c r="L883" s="1"/>
    </row>
    <row r="884">
      <c r="B884" s="1"/>
      <c r="G884" s="1"/>
      <c r="L884" s="1"/>
    </row>
    <row r="885">
      <c r="B885" s="1"/>
      <c r="G885" s="1"/>
      <c r="L885" s="1"/>
    </row>
    <row r="886">
      <c r="B886" s="1"/>
      <c r="G886" s="1"/>
      <c r="L886" s="1"/>
    </row>
    <row r="887">
      <c r="B887" s="1"/>
      <c r="G887" s="1"/>
      <c r="L887" s="1"/>
    </row>
    <row r="888">
      <c r="B888" s="1"/>
      <c r="G888" s="1"/>
      <c r="L888" s="1"/>
    </row>
    <row r="889">
      <c r="B889" s="1"/>
      <c r="G889" s="1"/>
      <c r="L889" s="1"/>
    </row>
    <row r="890">
      <c r="B890" s="1"/>
      <c r="G890" s="1"/>
      <c r="L890" s="1"/>
    </row>
    <row r="891">
      <c r="B891" s="1"/>
      <c r="G891" s="1"/>
      <c r="L891" s="1"/>
    </row>
    <row r="892">
      <c r="B892" s="1"/>
      <c r="G892" s="1"/>
      <c r="L892" s="1"/>
    </row>
    <row r="893">
      <c r="B893" s="1"/>
      <c r="G893" s="1"/>
      <c r="L893" s="1"/>
    </row>
    <row r="894">
      <c r="B894" s="1"/>
      <c r="G894" s="1"/>
      <c r="L894" s="1"/>
    </row>
    <row r="895">
      <c r="B895" s="1"/>
      <c r="G895" s="1"/>
      <c r="L895" s="1"/>
    </row>
    <row r="896">
      <c r="B896" s="1"/>
      <c r="G896" s="1"/>
      <c r="L896" s="1"/>
    </row>
    <row r="897">
      <c r="B897" s="1"/>
      <c r="G897" s="1"/>
      <c r="L897" s="1"/>
    </row>
    <row r="898">
      <c r="B898" s="1"/>
      <c r="G898" s="1"/>
      <c r="L898" s="1"/>
    </row>
    <row r="899">
      <c r="B899" s="1"/>
      <c r="G899" s="1"/>
      <c r="L899" s="1"/>
    </row>
    <row r="900">
      <c r="B900" s="1"/>
      <c r="G900" s="1"/>
      <c r="L900" s="1"/>
    </row>
    <row r="901">
      <c r="B901" s="1"/>
      <c r="G901" s="1"/>
      <c r="L901" s="1"/>
    </row>
    <row r="902">
      <c r="B902" s="1"/>
      <c r="G902" s="1"/>
      <c r="L902" s="1"/>
    </row>
    <row r="903">
      <c r="B903" s="1"/>
      <c r="G903" s="1"/>
      <c r="L903" s="1"/>
    </row>
    <row r="904">
      <c r="B904" s="1"/>
      <c r="G904" s="1"/>
      <c r="L904" s="1"/>
    </row>
    <row r="905">
      <c r="B905" s="1"/>
      <c r="G905" s="1"/>
      <c r="L905" s="1"/>
    </row>
    <row r="906">
      <c r="B906" s="1"/>
      <c r="G906" s="1"/>
      <c r="L906" s="1"/>
    </row>
    <row r="907">
      <c r="B907" s="1"/>
      <c r="G907" s="1"/>
      <c r="L907" s="1"/>
    </row>
    <row r="908">
      <c r="B908" s="1"/>
      <c r="G908" s="1"/>
      <c r="L908" s="1"/>
    </row>
    <row r="909">
      <c r="B909" s="1"/>
      <c r="G909" s="1"/>
      <c r="L909" s="1"/>
    </row>
    <row r="910">
      <c r="B910" s="1"/>
      <c r="G910" s="1"/>
      <c r="L910" s="1"/>
    </row>
    <row r="911">
      <c r="B911" s="1"/>
      <c r="G911" s="1"/>
      <c r="L911" s="1"/>
    </row>
    <row r="912">
      <c r="B912" s="1"/>
      <c r="G912" s="1"/>
      <c r="L912" s="1"/>
    </row>
    <row r="913">
      <c r="B913" s="1"/>
      <c r="G913" s="1"/>
      <c r="L913" s="1"/>
    </row>
    <row r="914">
      <c r="B914" s="1"/>
      <c r="G914" s="1"/>
      <c r="L914" s="1"/>
    </row>
    <row r="915">
      <c r="B915" s="1"/>
      <c r="G915" s="1"/>
      <c r="L915" s="1"/>
    </row>
    <row r="916">
      <c r="B916" s="1"/>
      <c r="G916" s="1"/>
      <c r="L916" s="1"/>
    </row>
    <row r="917">
      <c r="B917" s="1"/>
      <c r="G917" s="1"/>
      <c r="L917" s="1"/>
    </row>
    <row r="918">
      <c r="B918" s="1"/>
      <c r="G918" s="1"/>
      <c r="L918" s="1"/>
    </row>
    <row r="919">
      <c r="B919" s="1"/>
      <c r="G919" s="1"/>
      <c r="L919" s="1"/>
    </row>
    <row r="920">
      <c r="B920" s="1"/>
      <c r="G920" s="1"/>
      <c r="L920" s="1"/>
    </row>
    <row r="921">
      <c r="B921" s="1"/>
      <c r="G921" s="1"/>
      <c r="L921" s="1"/>
    </row>
    <row r="922">
      <c r="B922" s="1"/>
      <c r="G922" s="1"/>
      <c r="L922" s="1"/>
    </row>
    <row r="923">
      <c r="B923" s="1"/>
      <c r="G923" s="1"/>
      <c r="L923" s="1"/>
    </row>
    <row r="924">
      <c r="B924" s="1"/>
      <c r="G924" s="1"/>
      <c r="L924" s="1"/>
    </row>
    <row r="925">
      <c r="B925" s="1"/>
      <c r="G925" s="1"/>
      <c r="L925" s="1"/>
    </row>
    <row r="926">
      <c r="B926" s="1"/>
      <c r="G926" s="1"/>
      <c r="L926" s="1"/>
    </row>
    <row r="927">
      <c r="B927" s="1"/>
      <c r="G927" s="1"/>
      <c r="L927" s="1"/>
    </row>
    <row r="928">
      <c r="B928" s="1"/>
      <c r="G928" s="1"/>
      <c r="L928" s="1"/>
    </row>
    <row r="929">
      <c r="B929" s="1"/>
      <c r="G929" s="1"/>
      <c r="L929" s="1"/>
    </row>
    <row r="930">
      <c r="B930" s="1"/>
      <c r="G930" s="1"/>
      <c r="L930" s="1"/>
    </row>
    <row r="931">
      <c r="B931" s="1"/>
      <c r="G931" s="1"/>
      <c r="L931" s="1"/>
    </row>
    <row r="932">
      <c r="B932" s="1"/>
      <c r="G932" s="1"/>
      <c r="L932" s="1"/>
    </row>
    <row r="933">
      <c r="B933" s="1"/>
      <c r="G933" s="1"/>
      <c r="L933" s="1"/>
    </row>
    <row r="934">
      <c r="B934" s="1"/>
      <c r="G934" s="1"/>
      <c r="L934" s="1"/>
    </row>
    <row r="935">
      <c r="B935" s="1"/>
      <c r="G935" s="1"/>
      <c r="L935" s="1"/>
    </row>
    <row r="936">
      <c r="B936" s="1"/>
      <c r="G936" s="1"/>
      <c r="L936" s="1"/>
    </row>
    <row r="937">
      <c r="B937" s="1"/>
      <c r="G937" s="1"/>
      <c r="L937" s="1"/>
    </row>
    <row r="938">
      <c r="B938" s="1"/>
      <c r="G938" s="1"/>
      <c r="L938" s="1"/>
    </row>
    <row r="939">
      <c r="B939" s="1"/>
      <c r="G939" s="1"/>
      <c r="L939" s="1"/>
    </row>
    <row r="940">
      <c r="B940" s="1"/>
      <c r="G940" s="1"/>
      <c r="L940" s="1"/>
    </row>
    <row r="941">
      <c r="B941" s="1"/>
      <c r="G941" s="1"/>
      <c r="L941" s="1"/>
    </row>
    <row r="942">
      <c r="B942" s="1"/>
      <c r="G942" s="1"/>
      <c r="L942" s="1"/>
    </row>
    <row r="943">
      <c r="B943" s="1"/>
      <c r="G943" s="1"/>
      <c r="L943" s="1"/>
    </row>
    <row r="944">
      <c r="B944" s="1"/>
      <c r="G944" s="1"/>
      <c r="L944" s="1"/>
    </row>
    <row r="945">
      <c r="B945" s="1"/>
      <c r="G945" s="1"/>
      <c r="L945" s="1"/>
    </row>
    <row r="946">
      <c r="B946" s="1"/>
      <c r="G946" s="1"/>
      <c r="L946" s="1"/>
    </row>
    <row r="947">
      <c r="B947" s="1"/>
      <c r="G947" s="1"/>
      <c r="L947" s="1"/>
    </row>
    <row r="948">
      <c r="B948" s="1"/>
      <c r="G948" s="1"/>
      <c r="L948" s="1"/>
    </row>
    <row r="949">
      <c r="B949" s="1"/>
      <c r="G949" s="1"/>
      <c r="L949" s="1"/>
    </row>
    <row r="950">
      <c r="B950" s="1"/>
      <c r="G950" s="1"/>
      <c r="L950" s="1"/>
    </row>
    <row r="951">
      <c r="B951" s="1"/>
      <c r="G951" s="1"/>
      <c r="L951" s="1"/>
    </row>
    <row r="952">
      <c r="B952" s="1"/>
      <c r="G952" s="1"/>
      <c r="L952" s="1"/>
    </row>
    <row r="953">
      <c r="B953" s="1"/>
      <c r="G953" s="1"/>
      <c r="L953" s="1"/>
    </row>
    <row r="954">
      <c r="B954" s="1"/>
      <c r="G954" s="1"/>
      <c r="L954" s="1"/>
    </row>
    <row r="955">
      <c r="B955" s="1"/>
      <c r="G955" s="1"/>
      <c r="L955" s="1"/>
    </row>
    <row r="956">
      <c r="B956" s="1"/>
      <c r="G956" s="1"/>
      <c r="L956" s="1"/>
    </row>
    <row r="957">
      <c r="B957" s="1"/>
      <c r="G957" s="1"/>
      <c r="L957" s="1"/>
    </row>
    <row r="958">
      <c r="B958" s="1"/>
      <c r="G958" s="1"/>
      <c r="L958" s="1"/>
    </row>
    <row r="959">
      <c r="B959" s="1"/>
      <c r="G959" s="1"/>
      <c r="L959" s="1"/>
    </row>
    <row r="960">
      <c r="B960" s="1"/>
      <c r="G960" s="1"/>
      <c r="L960" s="1"/>
    </row>
    <row r="961">
      <c r="B961" s="1"/>
      <c r="G961" s="1"/>
      <c r="L961" s="1"/>
    </row>
    <row r="962">
      <c r="B962" s="1"/>
      <c r="G962" s="1"/>
      <c r="L962" s="1"/>
    </row>
    <row r="963">
      <c r="B963" s="1"/>
      <c r="G963" s="1"/>
      <c r="L963" s="1"/>
    </row>
    <row r="964">
      <c r="B964" s="1"/>
      <c r="G964" s="1"/>
      <c r="L964" s="1"/>
    </row>
    <row r="965">
      <c r="B965" s="1"/>
      <c r="G965" s="1"/>
      <c r="L965" s="1"/>
    </row>
    <row r="966">
      <c r="B966" s="1"/>
      <c r="G966" s="1"/>
      <c r="L966" s="1"/>
    </row>
    <row r="967">
      <c r="B967" s="1"/>
      <c r="G967" s="1"/>
      <c r="L967" s="1"/>
    </row>
    <row r="968">
      <c r="B968" s="1"/>
      <c r="G968" s="1"/>
      <c r="L968" s="1"/>
    </row>
    <row r="969">
      <c r="B969" s="1"/>
      <c r="G969" s="1"/>
      <c r="L969" s="1"/>
    </row>
    <row r="970">
      <c r="B970" s="1"/>
      <c r="G970" s="1"/>
      <c r="L970" s="1"/>
    </row>
    <row r="971">
      <c r="B971" s="1"/>
      <c r="G971" s="1"/>
      <c r="L971" s="1"/>
    </row>
    <row r="972">
      <c r="B972" s="1"/>
      <c r="G972" s="1"/>
      <c r="L972" s="1"/>
    </row>
    <row r="973">
      <c r="B973" s="1"/>
      <c r="G973" s="1"/>
      <c r="L973" s="1"/>
    </row>
    <row r="974">
      <c r="B974" s="1"/>
      <c r="G974" s="1"/>
      <c r="L974" s="1"/>
    </row>
    <row r="975">
      <c r="B975" s="1"/>
      <c r="G975" s="1"/>
      <c r="L975" s="1"/>
    </row>
    <row r="976">
      <c r="B976" s="1"/>
      <c r="G976" s="1"/>
      <c r="L976" s="1"/>
    </row>
    <row r="977">
      <c r="B977" s="1"/>
      <c r="G977" s="1"/>
      <c r="L977" s="1"/>
    </row>
    <row r="978">
      <c r="B978" s="1"/>
      <c r="G978" s="1"/>
      <c r="L978" s="1"/>
    </row>
    <row r="979">
      <c r="B979" s="1"/>
      <c r="G979" s="1"/>
      <c r="L979" s="1"/>
    </row>
    <row r="980">
      <c r="B980" s="1"/>
      <c r="G980" s="1"/>
      <c r="L980" s="1"/>
    </row>
    <row r="981">
      <c r="B981" s="1"/>
      <c r="G981" s="1"/>
      <c r="L981" s="1"/>
    </row>
    <row r="982">
      <c r="B982" s="1"/>
      <c r="G982" s="1"/>
      <c r="L982" s="1"/>
    </row>
    <row r="983">
      <c r="B983" s="1"/>
      <c r="G983" s="1"/>
      <c r="L983" s="1"/>
    </row>
    <row r="984">
      <c r="B984" s="1"/>
      <c r="G984" s="1"/>
      <c r="L984" s="1"/>
    </row>
    <row r="985">
      <c r="B985" s="1"/>
      <c r="G985" s="1"/>
      <c r="L985" s="1"/>
    </row>
    <row r="986">
      <c r="B986" s="1"/>
      <c r="G986" s="1"/>
      <c r="L986" s="1"/>
    </row>
    <row r="987">
      <c r="B987" s="1"/>
      <c r="G987" s="1"/>
      <c r="L987" s="1"/>
    </row>
    <row r="988">
      <c r="B988" s="1"/>
      <c r="G988" s="1"/>
      <c r="L988" s="1"/>
    </row>
    <row r="989">
      <c r="B989" s="1"/>
      <c r="G989" s="1"/>
      <c r="L989" s="1"/>
    </row>
    <row r="990">
      <c r="B990" s="1"/>
      <c r="G990" s="1"/>
      <c r="L990" s="1"/>
    </row>
    <row r="991">
      <c r="B991" s="1"/>
      <c r="G991" s="1"/>
      <c r="L991" s="1"/>
    </row>
    <row r="992">
      <c r="B992" s="1"/>
      <c r="G992" s="1"/>
      <c r="L992" s="1"/>
    </row>
    <row r="993">
      <c r="B993" s="1"/>
      <c r="G993" s="1"/>
      <c r="L993" s="1"/>
    </row>
    <row r="994">
      <c r="B994" s="1"/>
      <c r="G994" s="1"/>
      <c r="L994" s="1"/>
    </row>
    <row r="995">
      <c r="B995" s="1"/>
      <c r="G995" s="1"/>
      <c r="L995" s="1"/>
    </row>
    <row r="996">
      <c r="B996" s="1"/>
      <c r="G996" s="1"/>
      <c r="L996" s="1"/>
    </row>
    <row r="997">
      <c r="B997" s="1"/>
      <c r="G997" s="1"/>
      <c r="L997" s="1"/>
    </row>
    <row r="998">
      <c r="B998" s="1"/>
      <c r="G998" s="1"/>
      <c r="L998" s="1"/>
    </row>
    <row r="999">
      <c r="B999" s="1"/>
      <c r="G999" s="1"/>
      <c r="L999" s="1"/>
    </row>
    <row r="1000">
      <c r="B1000" s="1"/>
      <c r="G1000" s="1"/>
      <c r="L1000" s="1"/>
    </row>
    <row r="1001">
      <c r="B1001" s="1"/>
      <c r="G1001" s="1"/>
      <c r="L100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" t="s">
        <v>157</v>
      </c>
    </row>
    <row r="3">
      <c r="B3" s="3" t="s">
        <v>158</v>
      </c>
      <c r="C3" s="3">
        <v>22000.0</v>
      </c>
      <c r="D3" s="3" t="s">
        <v>3</v>
      </c>
      <c r="F3" s="2" t="s">
        <v>159</v>
      </c>
      <c r="G3" s="5">
        <f>Calculations!$H$34</f>
        <v>20.4170012</v>
      </c>
    </row>
    <row r="4">
      <c r="B4" s="3" t="s">
        <v>160</v>
      </c>
      <c r="C4" s="3">
        <v>1200.0</v>
      </c>
      <c r="D4" s="3" t="s">
        <v>3</v>
      </c>
    </row>
    <row r="5">
      <c r="B5" s="3" t="s">
        <v>161</v>
      </c>
      <c r="C5" s="3">
        <v>1000.0</v>
      </c>
      <c r="D5" s="3" t="s">
        <v>55</v>
      </c>
    </row>
    <row r="7">
      <c r="B7" s="3" t="s">
        <v>162</v>
      </c>
      <c r="C7" s="5">
        <f>1/2/pi()/C4/C5/0.000001</f>
        <v>0.1326291192</v>
      </c>
      <c r="D7" s="3" t="s">
        <v>163</v>
      </c>
    </row>
    <row r="8">
      <c r="B8" s="3" t="s">
        <v>164</v>
      </c>
      <c r="C8" s="5">
        <f>1+$C$3/$C$4</f>
        <v>19.33333333</v>
      </c>
    </row>
    <row r="9">
      <c r="B9" s="3" t="s">
        <v>165</v>
      </c>
      <c r="C9" s="5">
        <f>20*LOG10(C8)</f>
        <v>25.72613478</v>
      </c>
    </row>
    <row r="10">
      <c r="B10" s="3" t="s">
        <v>166</v>
      </c>
      <c r="C10" s="5">
        <f>$G$3/$C$8</f>
        <v>1.056051786</v>
      </c>
      <c r="D10" s="3" t="s">
        <v>10</v>
      </c>
      <c r="E10" s="3" t="s">
        <v>167</v>
      </c>
    </row>
  </sheetData>
  <drawing r:id="rId1"/>
</worksheet>
</file>